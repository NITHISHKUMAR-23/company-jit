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/>
  <mc:AlternateContent xmlns:mc="http://schemas.openxmlformats.org/markup-compatibility/2006">
    <mc:Choice Requires="x15">
      <x15ac:absPath xmlns:x15ac="http://schemas.microsoft.com/office/spreadsheetml/2010/11/ac" url="C:\Users\JIIN03710311\Downloads\"/>
    </mc:Choice>
  </mc:AlternateContent>
  <xr:revisionPtr revIDLastSave="28" documentId="13_ncr:1_{B62E955B-9843-49D5-8753-74379627F2B6}" xr6:coauthVersionLast="47" xr6:coauthVersionMax="47" xr10:uidLastSave="{40E7D6E5-32AF-4103-B493-5283564432D7}"/>
  <bookViews>
    <workbookView xWindow="-110" yWindow="-110" windowWidth="19420" windowHeight="10300" tabRatio="470" firstSheet="1" xr2:uid="{00000000-000D-0000-FFFF-FFFF00000000}"/>
  </bookViews>
  <sheets>
    <sheet name="Pareto Chart" sheetId="21" r:id="rId1"/>
    <sheet name="5 Why Analysis" sheetId="12" r:id="rId2"/>
    <sheet name="Cause and Effect Analysis" sheetId="20" state="hidden" r:id="rId3"/>
    <sheet name="Action_Plan" sheetId="15" r:id="rId4"/>
  </sheets>
  <definedNames>
    <definedName name="_xlnm._FilterDatabase" localSheetId="1" hidden="1">'5 Why Analysis'!#REF!</definedName>
    <definedName name="_Toc50526234" localSheetId="1">'5 Why Analysis'!#REF!</definedName>
    <definedName name="_xlnm.Print_Area" localSheetId="1">'5 Why Analysis'!$B$2:$H$59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21" l="1"/>
  <c r="D25" i="21"/>
  <c r="D24" i="21"/>
  <c r="D26" i="21"/>
  <c r="C33" i="21"/>
  <c r="D27" i="21" l="1"/>
  <c r="D28" i="21" s="1"/>
  <c r="D29" i="21" s="1"/>
  <c r="E29" i="21"/>
  <c r="D30" i="21"/>
  <c r="E26" i="21"/>
  <c r="E25" i="21"/>
  <c r="E30" i="21" l="1"/>
  <c r="D31" i="21"/>
  <c r="E31" i="21" s="1"/>
  <c r="E27" i="21"/>
  <c r="E28" i="21" l="1"/>
  <c r="R8" i="20" l="1"/>
  <c r="F37" i="20"/>
  <c r="F31" i="20"/>
  <c r="F26" i="20"/>
  <c r="F18" i="20"/>
  <c r="F13" i="20"/>
  <c r="F8" i="20"/>
  <c r="L37" i="20"/>
  <c r="L31" i="20"/>
  <c r="L26" i="20"/>
  <c r="L18" i="20"/>
  <c r="L13" i="20"/>
  <c r="L8" i="20"/>
  <c r="R37" i="20"/>
  <c r="R31" i="20"/>
  <c r="R26" i="20"/>
  <c r="R18" i="20"/>
  <c r="R13" i="20"/>
  <c r="S37" i="20"/>
  <c r="S31" i="20"/>
</calcChain>
</file>

<file path=xl/sharedStrings.xml><?xml version="1.0" encoding="utf-8"?>
<sst xmlns="http://schemas.openxmlformats.org/spreadsheetml/2006/main" count="101" uniqueCount="90">
  <si>
    <t>PARETO CHART</t>
  </si>
  <si>
    <r>
      <rPr>
        <b/>
        <u/>
        <sz val="16"/>
        <rFont val="Calibri"/>
        <family val="2"/>
      </rPr>
      <t>EXAMPLE   Pareto Chart:</t>
    </r>
    <r>
      <rPr>
        <sz val="16"/>
        <rFont val="Calibri"/>
        <family val="2"/>
      </rPr>
      <t xml:space="preserve">  </t>
    </r>
    <r>
      <rPr>
        <sz val="11"/>
        <rFont val="Calibri"/>
        <family val="2"/>
      </rPr>
      <t>(Bar Graph in descending order of  frequency)</t>
    </r>
  </si>
  <si>
    <t xml:space="preserve">Definition:  The Pareto diagram/chart is a very powerful tool for showing the relative importance of problems (or causes of a problem).  </t>
  </si>
  <si>
    <t xml:space="preserve">Information can be collected initially by: a) developing an Affinity Diagram and using Multi &amp; Weighted Voting to tally up the number of votes for identified causes; and b) a formal audit. </t>
  </si>
  <si>
    <t>The highest frequency is the first bar in the Pareto Diagram and the next bar is the second highest frequency etc...</t>
  </si>
  <si>
    <t>A graph will automatically build as you enter your information into the table below.</t>
  </si>
  <si>
    <t>Steps to follow:</t>
  </si>
  <si>
    <t xml:space="preserve">Step 1:  Starting from the top (Cause 1) enter the name of your 'Causes' into the table below in DESCENDING order  </t>
  </si>
  <si>
    <t xml:space="preserve">Step 2:  Delete the rows  you have not used  (highlight row from left hand column and 'delete'). </t>
  </si>
  <si>
    <t>Step 3:  Enter the frequencies (#) next to the appropriate causes</t>
  </si>
  <si>
    <t>Step 4:   Enter the Title of your graph: Click on the graph, click on the title, then enter the information you want displayed</t>
  </si>
  <si>
    <r>
      <rPr>
        <b/>
        <sz val="10"/>
        <color indexed="8"/>
        <rFont val="Calibri"/>
        <family val="2"/>
      </rPr>
      <t>Step 5: HOW TO INTERPRET YOUR PARETO CHART:</t>
    </r>
    <r>
      <rPr>
        <sz val="10"/>
        <color indexed="8"/>
        <rFont val="Calibri"/>
        <family val="2"/>
      </rPr>
      <t xml:space="preserve"> The 'dots' from the red cumulative Frequency  % line that fall UNDER the green "80% cut off" line relate to the 'causes' that you should focus on as a 'priority'.  However, you can act on any of the 'causes' particularly if they maybe easy to address. </t>
    </r>
  </si>
  <si>
    <t>Note: Only change values is the 'white' cells. The 'grey' cells will automatically calculate based on formulas within the cells.</t>
  </si>
  <si>
    <t>Do not alter this column.  It calculates automatically</t>
  </si>
  <si>
    <t>Causes</t>
  </si>
  <si>
    <t>#</t>
  </si>
  <si>
    <t>Cumulative Total</t>
  </si>
  <si>
    <t>Cumulative %</t>
  </si>
  <si>
    <t>80% Cut off</t>
  </si>
  <si>
    <t>Logical Error</t>
  </si>
  <si>
    <t>design issue</t>
  </si>
  <si>
    <t>Miscellaneous</t>
  </si>
  <si>
    <t>Memory related</t>
  </si>
  <si>
    <t>Inaccurate Documentation</t>
  </si>
  <si>
    <t>system Bug</t>
  </si>
  <si>
    <t>Deviation from spec</t>
  </si>
  <si>
    <t>In accurate comments in code</t>
  </si>
  <si>
    <t xml:space="preserve">Total </t>
  </si>
  <si>
    <t>GT_1026/1.0/24.07.2017</t>
  </si>
  <si>
    <t xml:space="preserve"> Confidential</t>
  </si>
  <si>
    <t>Page:1</t>
  </si>
  <si>
    <t>ROOT CAUSE ANALYSIS</t>
  </si>
  <si>
    <t>Project</t>
  </si>
  <si>
    <t>D&amp;M_21593_TopEndAVR</t>
  </si>
  <si>
    <t>Date</t>
  </si>
  <si>
    <t>S.No</t>
  </si>
  <si>
    <t>Problem Description</t>
  </si>
  <si>
    <t>1st level Root Cause</t>
  </si>
  <si>
    <t>2nd level Root Cause</t>
  </si>
  <si>
    <t>3rd level Root Cause</t>
  </si>
  <si>
    <t>4th level Root Cause</t>
  </si>
  <si>
    <t>5th level Root Cause</t>
  </si>
  <si>
    <t>DEF29-IIDK_Realtime:Legacy_Mode_enable_issue</t>
  </si>
  <si>
    <t>While enabling legacy in TTL, Legacy_mode_enable is enabled/set as 1 in core1 but not enabling in core2.</t>
  </si>
  <si>
    <t>The legacy value is not updated properly for core2.</t>
  </si>
  <si>
    <t>Shared variable handling for Legacy_mode_enable variable should be done in core1 and core2.</t>
  </si>
  <si>
    <r>
      <rPr>
        <b/>
        <sz val="11"/>
        <color theme="1"/>
        <rFont val="Times New Roman"/>
        <family val="1"/>
      </rPr>
      <t>Shared memory</t>
    </r>
    <r>
      <rPr>
        <sz val="11"/>
        <color theme="1"/>
        <rFont val="Times New Roman"/>
        <family val="1"/>
      </rPr>
      <t xml:space="preserve"> handling is not done properly</t>
    </r>
  </si>
  <si>
    <t>ELT 155: [NoiseGenerator] Noise does not output from L &amp; R channels.</t>
  </si>
  <si>
    <t xml:space="preserve">Data format changes in run time </t>
  </si>
  <si>
    <t>Floating point operations happens for the fixed output</t>
  </si>
  <si>
    <t>Data format variable update is not handled properly.</t>
  </si>
  <si>
    <t xml:space="preserve">The data format based dB level multiplication is done only for L&amp;R channel  </t>
  </si>
  <si>
    <t>This issue occurs only in L and R channels and not in other channels since the db level multiplication is not done in other channels.</t>
  </si>
  <si>
    <t>ELT 122: [Auro3D] Auro3D Engine doesn't expand the output channels during DTS-HD MA 1.0 stream even though Listening mode is "Auro3D"</t>
  </si>
  <si>
    <t>In DTSX case, If Auro is enabled, DTS commands will be updated based on Auro requirement. This update is not handled properly in the DTS kernel</t>
  </si>
  <si>
    <t>In 1.0 stream case, Input configuration for Auro is updated unexpectedly from DTSX Decoder as 5.1 but the actual content is 1.0.</t>
  </si>
  <si>
    <t>The wrong input channel configuration for Auro processing  causes improper output channels.</t>
  </si>
  <si>
    <t>DTS command update for Default case and Auro case was not handled properly.</t>
  </si>
  <si>
    <t>For DTS command update, command initialization was not correct.</t>
  </si>
  <si>
    <t>GT_1026/2.0</t>
  </si>
  <si>
    <t>Internal Use</t>
  </si>
  <si>
    <t>Page:2</t>
  </si>
  <si>
    <t xml:space="preserve">  </t>
  </si>
  <si>
    <t>Category</t>
  </si>
  <si>
    <t>List of Causes</t>
  </si>
  <si>
    <t>Man / People/ Staff</t>
  </si>
  <si>
    <t>Machine / Hardware</t>
  </si>
  <si>
    <t>Materials / Inputs / Reference</t>
  </si>
  <si>
    <t>Method / Process / Procedure</t>
  </si>
  <si>
    <t>Measurement</t>
  </si>
  <si>
    <t>Environment</t>
  </si>
  <si>
    <t>PROBLEM DESCRIPTION</t>
  </si>
  <si>
    <t>Page : 2</t>
  </si>
  <si>
    <t>SI No</t>
  </si>
  <si>
    <t>Action Proposed</t>
  </si>
  <si>
    <t>Type of 
Action</t>
  </si>
  <si>
    <t>Action 
Assigned to</t>
  </si>
  <si>
    <t>Action 
Plan validation</t>
  </si>
  <si>
    <t>Decision</t>
  </si>
  <si>
    <t>Remarks(if any)</t>
  </si>
  <si>
    <t>All supported output channel configurations for All input layouts need to verified</t>
  </si>
  <si>
    <t>Preventive action</t>
  </si>
  <si>
    <t>Divyajothi</t>
  </si>
  <si>
    <t>Improvement witnessed</t>
  </si>
  <si>
    <t>Action item will be deployed for complete project</t>
  </si>
  <si>
    <t>Test plan is revisited and extended the use cases.</t>
  </si>
  <si>
    <t xml:space="preserve">Data format variable update handling should be taken care to avoid the runtime variable change effect. </t>
  </si>
  <si>
    <t>Prashanth</t>
  </si>
  <si>
    <t xml:space="preserve">Common variable clear should be designed for all decoders </t>
  </si>
  <si>
    <t>Page:3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</si>
</sst>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[$-409]d/mmm/yyyy;@"/>
    <numFmt numFmtId="165" formatCode="0.0%"/>
  </numFmts>
  <fonts count="48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color rgb="FF0000FF"/>
      <name val="Times New Roman"/>
      <family val="1"/>
    </font>
    <font>
      <b/>
      <u/>
      <sz val="1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name val="Times New Roman"/>
      <family val="1"/>
    </font>
    <font>
      <b/>
      <sz val="11"/>
      <color indexed="12"/>
      <name val="Times New Roman"/>
      <family val="1"/>
    </font>
    <font>
      <sz val="12"/>
      <name val="Times New Roman"/>
      <family val="1"/>
    </font>
    <font>
      <sz val="11"/>
      <color indexed="12"/>
      <name val="Times New Roman"/>
      <family val="1"/>
    </font>
    <font>
      <b/>
      <sz val="12"/>
      <name val="Times New Roman"/>
      <family val="1"/>
    </font>
    <font>
      <sz val="12"/>
      <color rgb="FF0000FF"/>
      <name val="Times New Roman"/>
      <family val="1"/>
    </font>
    <font>
      <sz val="10"/>
      <color rgb="FF0000FF"/>
      <name val="Times New Roman"/>
      <family val="1"/>
    </font>
    <font>
      <b/>
      <u/>
      <sz val="10"/>
      <name val="Times New Roman"/>
      <family val="1"/>
    </font>
    <font>
      <b/>
      <u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Trebuchet MS"/>
      <family val="2"/>
    </font>
    <font>
      <b/>
      <sz val="28"/>
      <color theme="0"/>
      <name val="Trebuchet MS"/>
      <family val="2"/>
    </font>
    <font>
      <b/>
      <u/>
      <sz val="16"/>
      <name val="Calibri"/>
      <family val="2"/>
      <scheme val="minor"/>
    </font>
    <font>
      <b/>
      <u/>
      <sz val="16"/>
      <name val="Calibri"/>
      <family val="2"/>
    </font>
    <font>
      <sz val="16"/>
      <name val="Calibri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u/>
      <sz val="10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Trebuchet MS"/>
      <family val="2"/>
    </font>
    <font>
      <sz val="12"/>
      <color indexed="12"/>
      <name val="Trebuchet MS"/>
      <family val="2"/>
    </font>
    <font>
      <sz val="8"/>
      <name val="Arial"/>
      <family val="2"/>
    </font>
    <font>
      <sz val="12"/>
      <color rgb="FF0000FF"/>
      <name val="Trebuchet MS"/>
      <family val="2"/>
    </font>
    <font>
      <sz val="11"/>
      <color rgb="FF000000"/>
      <name val="Times New Roman"/>
      <family val="1"/>
    </font>
    <font>
      <u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8"/>
      <color theme="1"/>
      <name val="Verdana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0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0" borderId="0"/>
    <xf numFmtId="9" fontId="17" fillId="0" borderId="0" applyFont="0" applyFill="0" applyBorder="0" applyAlignment="0" applyProtection="0"/>
    <xf numFmtId="0" fontId="37" fillId="0" borderId="0" applyNumberFormat="0" applyFill="0" applyBorder="0" applyAlignment="0" applyProtection="0"/>
  </cellStyleXfs>
  <cellXfs count="180">
    <xf numFmtId="0" fontId="0" fillId="0" borderId="0" xfId="0"/>
    <xf numFmtId="0" fontId="2" fillId="3" borderId="0" xfId="0" applyFont="1" applyFill="1"/>
    <xf numFmtId="0" fontId="2" fillId="0" borderId="0" xfId="0" applyFont="1"/>
    <xf numFmtId="0" fontId="2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44" fontId="2" fillId="2" borderId="0" xfId="1" applyFont="1" applyFill="1" applyBorder="1" applyAlignment="1" applyProtection="1">
      <alignment horizontal="center" vertical="top"/>
    </xf>
    <xf numFmtId="44" fontId="6" fillId="2" borderId="0" xfId="1" applyFont="1" applyFill="1" applyBorder="1" applyAlignment="1" applyProtection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6" fillId="2" borderId="0" xfId="0" applyFont="1" applyFill="1" applyAlignment="1" applyProtection="1">
      <alignment vertical="top"/>
      <protection locked="0"/>
    </xf>
    <xf numFmtId="0" fontId="8" fillId="2" borderId="0" xfId="0" applyFont="1" applyFill="1" applyAlignment="1">
      <alignment vertical="top"/>
    </xf>
    <xf numFmtId="15" fontId="6" fillId="2" borderId="0" xfId="0" applyNumberFormat="1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center" vertical="top"/>
    </xf>
    <xf numFmtId="0" fontId="10" fillId="2" borderId="0" xfId="0" applyFont="1" applyFill="1" applyAlignment="1">
      <alignment vertical="top"/>
    </xf>
    <xf numFmtId="0" fontId="10" fillId="0" borderId="0" xfId="0" applyFont="1" applyAlignment="1">
      <alignment vertical="top"/>
    </xf>
    <xf numFmtId="0" fontId="11" fillId="2" borderId="0" xfId="0" applyFont="1" applyFill="1" applyAlignment="1">
      <alignment vertical="top"/>
    </xf>
    <xf numFmtId="0" fontId="6" fillId="6" borderId="6" xfId="0" applyFont="1" applyFill="1" applyBorder="1" applyAlignment="1" applyProtection="1">
      <alignment vertical="top" wrapText="1"/>
      <protection locked="0"/>
    </xf>
    <xf numFmtId="44" fontId="6" fillId="3" borderId="4" xfId="1" applyFont="1" applyFill="1" applyBorder="1" applyAlignment="1" applyProtection="1">
      <alignment horizontal="center" vertical="top"/>
      <protection locked="0"/>
    </xf>
    <xf numFmtId="44" fontId="12" fillId="7" borderId="7" xfId="1" applyFont="1" applyFill="1" applyBorder="1" applyAlignment="1" applyProtection="1">
      <alignment horizontal="left" vertical="top"/>
    </xf>
    <xf numFmtId="44" fontId="12" fillId="7" borderId="8" xfId="1" applyFont="1" applyFill="1" applyBorder="1" applyAlignment="1" applyProtection="1">
      <alignment horizontal="left" vertical="top"/>
    </xf>
    <xf numFmtId="164" fontId="6" fillId="3" borderId="5" xfId="1" applyNumberFormat="1" applyFont="1" applyFill="1" applyBorder="1" applyAlignment="1" applyProtection="1">
      <alignment horizontal="center" vertical="top"/>
      <protection locked="0"/>
    </xf>
    <xf numFmtId="0" fontId="13" fillId="0" borderId="0" xfId="0" applyFont="1" applyAlignment="1">
      <alignment vertical="top"/>
    </xf>
    <xf numFmtId="0" fontId="14" fillId="0" borderId="15" xfId="0" applyFont="1" applyBorder="1" applyAlignment="1">
      <alignment horizontal="right" vertical="center"/>
    </xf>
    <xf numFmtId="0" fontId="2" fillId="3" borderId="19" xfId="0" applyFont="1" applyFill="1" applyBorder="1"/>
    <xf numFmtId="0" fontId="2" fillId="3" borderId="20" xfId="0" applyFont="1" applyFill="1" applyBorder="1"/>
    <xf numFmtId="0" fontId="2" fillId="3" borderId="19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2" fillId="3" borderId="12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left"/>
    </xf>
    <xf numFmtId="0" fontId="2" fillId="3" borderId="13" xfId="0" applyFont="1" applyFill="1" applyBorder="1"/>
    <xf numFmtId="0" fontId="2" fillId="3" borderId="14" xfId="0" applyFont="1" applyFill="1" applyBorder="1"/>
    <xf numFmtId="44" fontId="8" fillId="2" borderId="0" xfId="1" applyFont="1" applyFill="1" applyBorder="1" applyAlignment="1" applyProtection="1">
      <alignment horizontal="center" vertical="top"/>
    </xf>
    <xf numFmtId="0" fontId="6" fillId="6" borderId="6" xfId="0" applyFont="1" applyFill="1" applyBorder="1" applyAlignment="1" applyProtection="1">
      <alignment horizontal="center" vertical="center" wrapText="1"/>
      <protection locked="0"/>
    </xf>
    <xf numFmtId="0" fontId="6" fillId="6" borderId="6" xfId="0" applyFont="1" applyFill="1" applyBorder="1" applyAlignment="1" applyProtection="1">
      <alignment horizontal="left" vertical="top" wrapText="1"/>
      <protection locked="0"/>
    </xf>
    <xf numFmtId="0" fontId="7" fillId="6" borderId="6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 applyProtection="1">
      <alignment horizontal="left" vertical="top" wrapText="1"/>
      <protection locked="0"/>
    </xf>
    <xf numFmtId="44" fontId="12" fillId="5" borderId="6" xfId="1" applyFont="1" applyFill="1" applyBorder="1" applyAlignment="1" applyProtection="1">
      <alignment horizontal="center" vertical="center"/>
    </xf>
    <xf numFmtId="44" fontId="12" fillId="5" borderId="22" xfId="1" applyFont="1" applyFill="1" applyBorder="1" applyAlignment="1" applyProtection="1">
      <alignment horizontal="center" vertical="center"/>
    </xf>
    <xf numFmtId="44" fontId="12" fillId="5" borderId="1" xfId="1" applyFont="1" applyFill="1" applyBorder="1" applyAlignment="1" applyProtection="1">
      <alignment horizontal="center" vertical="center" wrapText="1"/>
    </xf>
    <xf numFmtId="44" fontId="12" fillId="5" borderId="2" xfId="1" applyFont="1" applyFill="1" applyBorder="1" applyAlignment="1" applyProtection="1">
      <alignment horizontal="center" vertical="center" wrapText="1"/>
    </xf>
    <xf numFmtId="44" fontId="12" fillId="5" borderId="2" xfId="1" applyFont="1" applyFill="1" applyBorder="1" applyAlignment="1" applyProtection="1">
      <alignment horizontal="center" vertical="center"/>
    </xf>
    <xf numFmtId="44" fontId="12" fillId="5" borderId="3" xfId="1" applyFont="1" applyFill="1" applyBorder="1" applyAlignment="1" applyProtection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6" fillId="4" borderId="25" xfId="0" applyFont="1" applyFill="1" applyBorder="1" applyAlignment="1" applyProtection="1">
      <alignment horizontal="left"/>
      <protection locked="0"/>
    </xf>
    <xf numFmtId="0" fontId="6" fillId="4" borderId="27" xfId="0" applyFont="1" applyFill="1" applyBorder="1" applyAlignment="1" applyProtection="1">
      <alignment horizontal="left"/>
      <protection locked="0"/>
    </xf>
    <xf numFmtId="0" fontId="6" fillId="4" borderId="29" xfId="0" applyFont="1" applyFill="1" applyBorder="1" applyAlignment="1" applyProtection="1">
      <alignment horizontal="left"/>
      <protection locked="0"/>
    </xf>
    <xf numFmtId="0" fontId="8" fillId="8" borderId="2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2" fillId="3" borderId="10" xfId="0" applyFont="1" applyFill="1" applyBorder="1"/>
    <xf numFmtId="0" fontId="2" fillId="3" borderId="11" xfId="0" applyFont="1" applyFill="1" applyBorder="1"/>
    <xf numFmtId="0" fontId="0" fillId="0" borderId="0" xfId="0" applyAlignment="1">
      <alignment horizontal="center" vertical="center"/>
    </xf>
    <xf numFmtId="0" fontId="19" fillId="3" borderId="0" xfId="0" applyFont="1" applyFill="1"/>
    <xf numFmtId="0" fontId="22" fillId="3" borderId="0" xfId="0" applyFont="1" applyFill="1" applyAlignment="1">
      <alignment horizontal="left" vertical="top"/>
    </xf>
    <xf numFmtId="0" fontId="27" fillId="3" borderId="0" xfId="0" applyFont="1" applyFill="1" applyAlignment="1">
      <alignment horizontal="left" vertical="top"/>
    </xf>
    <xf numFmtId="0" fontId="19" fillId="3" borderId="0" xfId="0" applyFont="1" applyFill="1" applyAlignment="1">
      <alignment horizontal="left" vertical="top"/>
    </xf>
    <xf numFmtId="0" fontId="19" fillId="3" borderId="0" xfId="0" applyFont="1" applyFill="1" applyAlignment="1">
      <alignment horizontal="left"/>
    </xf>
    <xf numFmtId="0" fontId="32" fillId="3" borderId="0" xfId="0" applyFont="1" applyFill="1"/>
    <xf numFmtId="165" fontId="33" fillId="3" borderId="0" xfId="3" applyNumberFormat="1" applyFont="1" applyFill="1" applyAlignment="1">
      <alignment horizontal="center" vertical="center" wrapText="1"/>
    </xf>
    <xf numFmtId="9" fontId="34" fillId="3" borderId="0" xfId="0" applyNumberFormat="1" applyFont="1" applyFill="1"/>
    <xf numFmtId="0" fontId="34" fillId="3" borderId="0" xfId="0" applyFont="1" applyFill="1" applyAlignment="1">
      <alignment horizontal="center" vertical="top" wrapText="1"/>
    </xf>
    <xf numFmtId="0" fontId="34" fillId="3" borderId="15" xfId="0" applyFont="1" applyFill="1" applyBorder="1" applyAlignment="1">
      <alignment horizontal="center" vertical="center" wrapText="1"/>
    </xf>
    <xf numFmtId="0" fontId="35" fillId="3" borderId="15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top" wrapText="1"/>
    </xf>
    <xf numFmtId="0" fontId="19" fillId="3" borderId="0" xfId="0" applyFont="1" applyFill="1" applyAlignment="1">
      <alignment wrapText="1"/>
    </xf>
    <xf numFmtId="0" fontId="19" fillId="3" borderId="0" xfId="0" applyFont="1" applyFill="1" applyAlignment="1">
      <alignment horizontal="center" vertical="top" wrapText="1"/>
    </xf>
    <xf numFmtId="0" fontId="19" fillId="3" borderId="15" xfId="0" applyFont="1" applyFill="1" applyBorder="1" applyAlignment="1">
      <alignment horizontal="left" vertical="center" wrapText="1"/>
    </xf>
    <xf numFmtId="1" fontId="19" fillId="3" borderId="15" xfId="0" applyNumberFormat="1" applyFont="1" applyFill="1" applyBorder="1" applyAlignment="1">
      <alignment horizontal="center" vertical="center"/>
    </xf>
    <xf numFmtId="1" fontId="19" fillId="7" borderId="15" xfId="0" applyNumberFormat="1" applyFont="1" applyFill="1" applyBorder="1" applyAlignment="1">
      <alignment horizontal="center" vertical="center" wrapText="1"/>
    </xf>
    <xf numFmtId="9" fontId="36" fillId="7" borderId="15" xfId="3" applyFont="1" applyFill="1" applyBorder="1" applyAlignment="1">
      <alignment horizontal="center" vertical="center" wrapText="1"/>
    </xf>
    <xf numFmtId="9" fontId="19" fillId="7" borderId="15" xfId="3" applyFont="1" applyFill="1" applyBorder="1" applyAlignment="1">
      <alignment horizontal="center" vertical="center" wrapText="1"/>
    </xf>
    <xf numFmtId="1" fontId="19" fillId="3" borderId="0" xfId="0" applyNumberFormat="1" applyFont="1" applyFill="1" applyAlignment="1">
      <alignment horizontal="center" vertical="top" wrapText="1"/>
    </xf>
    <xf numFmtId="1" fontId="19" fillId="3" borderId="0" xfId="0" applyNumberFormat="1" applyFont="1" applyFill="1" applyAlignment="1">
      <alignment horizontal="center" vertical="top"/>
    </xf>
    <xf numFmtId="0" fontId="32" fillId="3" borderId="15" xfId="0" applyFont="1" applyFill="1" applyBorder="1" applyAlignment="1">
      <alignment horizontal="left" vertical="center" wrapText="1"/>
    </xf>
    <xf numFmtId="1" fontId="32" fillId="7" borderId="15" xfId="0" applyNumberFormat="1" applyFont="1" applyFill="1" applyBorder="1" applyAlignment="1">
      <alignment horizontal="center" vertical="center"/>
    </xf>
    <xf numFmtId="1" fontId="32" fillId="3" borderId="0" xfId="0" applyNumberFormat="1" applyFont="1" applyFill="1" applyAlignment="1">
      <alignment horizontal="right" vertical="top" wrapText="1"/>
    </xf>
    <xf numFmtId="1" fontId="36" fillId="3" borderId="0" xfId="4" applyNumberFormat="1" applyFont="1" applyFill="1" applyBorder="1" applyAlignment="1">
      <alignment horizontal="right" vertical="top" wrapText="1"/>
    </xf>
    <xf numFmtId="0" fontId="19" fillId="3" borderId="0" xfId="0" applyFont="1" applyFill="1" applyAlignment="1">
      <alignment horizontal="left" vertical="top" wrapText="1"/>
    </xf>
    <xf numFmtId="1" fontId="19" fillId="3" borderId="0" xfId="0" applyNumberFormat="1" applyFont="1" applyFill="1" applyAlignment="1">
      <alignment horizontal="right" vertical="top" wrapText="1"/>
    </xf>
    <xf numFmtId="2" fontId="37" fillId="3" borderId="0" xfId="4" applyNumberFormat="1" applyFill="1" applyBorder="1" applyAlignment="1">
      <alignment horizontal="right" vertical="top" wrapText="1"/>
    </xf>
    <xf numFmtId="0" fontId="19" fillId="3" borderId="0" xfId="0" applyFont="1" applyFill="1" applyAlignment="1">
      <alignment horizontal="left" vertical="center" wrapText="1"/>
    </xf>
    <xf numFmtId="0" fontId="19" fillId="3" borderId="0" xfId="0" applyFont="1" applyFill="1" applyAlignment="1">
      <alignment vertical="top" wrapText="1"/>
    </xf>
    <xf numFmtId="44" fontId="6" fillId="2" borderId="0" xfId="1" applyFont="1" applyFill="1" applyBorder="1" applyAlignment="1" applyProtection="1">
      <alignment horizontal="left" vertical="top"/>
    </xf>
    <xf numFmtId="44" fontId="6" fillId="2" borderId="0" xfId="1" applyFont="1" applyFill="1" applyBorder="1" applyAlignment="1" applyProtection="1">
      <alignment horizontal="left" vertical="top" wrapText="1"/>
    </xf>
    <xf numFmtId="0" fontId="41" fillId="0" borderId="16" xfId="0" applyFont="1" applyBorder="1" applyAlignment="1">
      <alignment horizontal="center"/>
    </xf>
    <xf numFmtId="0" fontId="10" fillId="0" borderId="0" xfId="0" applyFont="1" applyAlignment="1">
      <alignment horizontal="justify"/>
    </xf>
    <xf numFmtId="0" fontId="10" fillId="0" borderId="0" xfId="0" applyFont="1" applyAlignment="1">
      <alignment horizontal="justify" vertical="center"/>
    </xf>
    <xf numFmtId="0" fontId="0" fillId="0" borderId="0" xfId="0" applyAlignment="1">
      <alignment wrapText="1"/>
    </xf>
    <xf numFmtId="0" fontId="3" fillId="0" borderId="0" xfId="0" applyFont="1" applyAlignment="1">
      <alignment vertical="top"/>
    </xf>
    <xf numFmtId="0" fontId="6" fillId="10" borderId="6" xfId="0" applyFont="1" applyFill="1" applyBorder="1" applyAlignment="1">
      <alignment horizontal="left" vertical="top" wrapText="1"/>
    </xf>
    <xf numFmtId="0" fontId="6" fillId="10" borderId="6" xfId="0" applyFont="1" applyFill="1" applyBorder="1" applyAlignment="1">
      <alignment horizontal="center" vertical="center" wrapText="1"/>
    </xf>
    <xf numFmtId="0" fontId="7" fillId="6" borderId="40" xfId="0" applyFont="1" applyFill="1" applyBorder="1" applyAlignment="1" applyProtection="1">
      <alignment horizontal="center" vertical="center" wrapText="1"/>
      <protection locked="0"/>
    </xf>
    <xf numFmtId="0" fontId="42" fillId="10" borderId="40" xfId="0" applyFont="1" applyFill="1" applyBorder="1" applyAlignment="1">
      <alignment horizontal="left" vertical="top" wrapText="1"/>
    </xf>
    <xf numFmtId="0" fontId="6" fillId="10" borderId="40" xfId="0" applyFont="1" applyFill="1" applyBorder="1" applyAlignment="1">
      <alignment vertical="top" wrapText="1"/>
    </xf>
    <xf numFmtId="0" fontId="43" fillId="11" borderId="41" xfId="4" applyFont="1" applyFill="1" applyBorder="1" applyAlignment="1" applyProtection="1">
      <alignment horizontal="center" vertical="center"/>
      <protection locked="0"/>
    </xf>
    <xf numFmtId="44" fontId="44" fillId="5" borderId="41" xfId="1" applyFont="1" applyFill="1" applyBorder="1" applyAlignment="1" applyProtection="1">
      <alignment horizontal="center" vertical="center"/>
    </xf>
    <xf numFmtId="0" fontId="45" fillId="11" borderId="41" xfId="0" applyFont="1" applyFill="1" applyBorder="1" applyAlignment="1" applyProtection="1">
      <alignment horizontal="left" vertical="center"/>
      <protection locked="0"/>
    </xf>
    <xf numFmtId="0" fontId="45" fillId="11" borderId="41" xfId="0" applyFont="1" applyFill="1" applyBorder="1" applyAlignment="1" applyProtection="1">
      <alignment horizontal="left" vertical="center" wrapText="1"/>
      <protection locked="0"/>
    </xf>
    <xf numFmtId="0" fontId="46" fillId="6" borderId="41" xfId="0" applyFont="1" applyFill="1" applyBorder="1" applyAlignment="1" applyProtection="1">
      <alignment horizontal="left" vertical="top" wrapText="1"/>
      <protection locked="0"/>
    </xf>
    <xf numFmtId="0" fontId="46" fillId="6" borderId="41" xfId="0" applyFont="1" applyFill="1" applyBorder="1" applyAlignment="1" applyProtection="1">
      <alignment vertical="top" wrapText="1"/>
      <protection locked="0"/>
    </xf>
    <xf numFmtId="0" fontId="20" fillId="2" borderId="9" xfId="0" applyFont="1" applyFill="1" applyBorder="1" applyAlignment="1">
      <alignment horizontal="center" vertical="top"/>
    </xf>
    <xf numFmtId="0" fontId="20" fillId="2" borderId="11" xfId="0" applyFont="1" applyFill="1" applyBorder="1" applyAlignment="1">
      <alignment horizontal="center" vertical="top"/>
    </xf>
    <xf numFmtId="0" fontId="20" fillId="2" borderId="19" xfId="0" applyFont="1" applyFill="1" applyBorder="1" applyAlignment="1">
      <alignment horizontal="center" vertical="top"/>
    </xf>
    <xf numFmtId="0" fontId="20" fillId="2" borderId="20" xfId="0" applyFont="1" applyFill="1" applyBorder="1" applyAlignment="1">
      <alignment horizontal="center" vertical="top"/>
    </xf>
    <xf numFmtId="0" fontId="20" fillId="2" borderId="12" xfId="0" applyFont="1" applyFill="1" applyBorder="1" applyAlignment="1">
      <alignment horizontal="center" vertical="top"/>
    </xf>
    <xf numFmtId="0" fontId="20" fillId="2" borderId="14" xfId="0" applyFont="1" applyFill="1" applyBorder="1" applyAlignment="1">
      <alignment horizontal="center" vertical="top"/>
    </xf>
    <xf numFmtId="0" fontId="21" fillId="9" borderId="9" xfId="0" applyFont="1" applyFill="1" applyBorder="1" applyAlignment="1">
      <alignment horizontal="center" vertical="center"/>
    </xf>
    <xf numFmtId="0" fontId="21" fillId="9" borderId="10" xfId="0" applyFont="1" applyFill="1" applyBorder="1" applyAlignment="1">
      <alignment horizontal="center" vertical="center"/>
    </xf>
    <xf numFmtId="0" fontId="21" fillId="9" borderId="11" xfId="0" applyFont="1" applyFill="1" applyBorder="1" applyAlignment="1">
      <alignment horizontal="center" vertical="center"/>
    </xf>
    <xf numFmtId="0" fontId="21" fillId="9" borderId="19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21" fillId="9" borderId="20" xfId="0" applyFont="1" applyFill="1" applyBorder="1" applyAlignment="1">
      <alignment horizontal="center" vertical="center"/>
    </xf>
    <xf numFmtId="0" fontId="21" fillId="9" borderId="12" xfId="0" applyFont="1" applyFill="1" applyBorder="1" applyAlignment="1">
      <alignment horizontal="center" vertical="center"/>
    </xf>
    <xf numFmtId="0" fontId="21" fillId="9" borderId="13" xfId="0" applyFont="1" applyFill="1" applyBorder="1" applyAlignment="1">
      <alignment horizontal="center" vertical="center"/>
    </xf>
    <xf numFmtId="0" fontId="21" fillId="9" borderId="14" xfId="0" applyFont="1" applyFill="1" applyBorder="1" applyAlignment="1">
      <alignment horizontal="center" vertical="center"/>
    </xf>
    <xf numFmtId="0" fontId="22" fillId="3" borderId="0" xfId="0" applyFont="1" applyFill="1" applyAlignment="1">
      <alignment horizontal="left" vertical="top"/>
    </xf>
    <xf numFmtId="0" fontId="19" fillId="3" borderId="0" xfId="0" applyFont="1" applyFill="1" applyAlignment="1">
      <alignment horizontal="left" vertical="top"/>
    </xf>
    <xf numFmtId="0" fontId="26" fillId="3" borderId="0" xfId="0" applyFont="1" applyFill="1" applyAlignment="1">
      <alignment horizontal="left" vertical="top" wrapText="1"/>
    </xf>
    <xf numFmtId="0" fontId="39" fillId="0" borderId="18" xfId="0" applyFont="1" applyBorder="1" applyAlignment="1">
      <alignment horizontal="left"/>
    </xf>
    <xf numFmtId="0" fontId="38" fillId="0" borderId="15" xfId="0" applyFont="1" applyBorder="1" applyAlignment="1">
      <alignment horizontal="left"/>
    </xf>
    <xf numFmtId="0" fontId="38" fillId="0" borderId="16" xfId="0" applyFont="1" applyBorder="1" applyAlignment="1">
      <alignment horizontal="left"/>
    </xf>
    <xf numFmtId="0" fontId="41" fillId="0" borderId="16" xfId="0" applyFont="1" applyBorder="1" applyAlignment="1">
      <alignment horizontal="left"/>
    </xf>
    <xf numFmtId="0" fontId="41" fillId="0" borderId="17" xfId="0" applyFont="1" applyBorder="1" applyAlignment="1">
      <alignment horizontal="left"/>
    </xf>
    <xf numFmtId="0" fontId="41" fillId="0" borderId="18" xfId="0" applyFont="1" applyBorder="1" applyAlignment="1">
      <alignment horizontal="left"/>
    </xf>
    <xf numFmtId="0" fontId="31" fillId="3" borderId="0" xfId="0" applyFont="1" applyFill="1" applyAlignment="1">
      <alignment horizontal="left" vertical="top"/>
    </xf>
    <xf numFmtId="0" fontId="39" fillId="0" borderId="15" xfId="0" applyFont="1" applyBorder="1" applyAlignment="1">
      <alignment horizontal="left"/>
    </xf>
    <xf numFmtId="0" fontId="27" fillId="3" borderId="0" xfId="0" applyFont="1" applyFill="1" applyAlignment="1">
      <alignment horizontal="left" vertical="top"/>
    </xf>
    <xf numFmtId="0" fontId="28" fillId="3" borderId="0" xfId="0" applyFont="1" applyFill="1" applyAlignment="1">
      <alignment horizontal="left" vertical="top"/>
    </xf>
    <xf numFmtId="0" fontId="29" fillId="3" borderId="0" xfId="0" applyFont="1" applyFill="1" applyAlignment="1">
      <alignment horizontal="left" vertical="top" wrapText="1"/>
    </xf>
    <xf numFmtId="0" fontId="5" fillId="2" borderId="9" xfId="0" applyFont="1" applyFill="1" applyBorder="1" applyAlignment="1">
      <alignment horizontal="center" vertical="top"/>
    </xf>
    <xf numFmtId="0" fontId="5" fillId="2" borderId="11" xfId="0" applyFont="1" applyFill="1" applyBorder="1" applyAlignment="1">
      <alignment horizontal="center" vertical="top"/>
    </xf>
    <xf numFmtId="0" fontId="5" fillId="2" borderId="19" xfId="0" applyFont="1" applyFill="1" applyBorder="1" applyAlignment="1">
      <alignment horizontal="center" vertical="top"/>
    </xf>
    <xf numFmtId="0" fontId="5" fillId="2" borderId="20" xfId="0" applyFont="1" applyFill="1" applyBorder="1" applyAlignment="1">
      <alignment horizontal="center" vertical="top"/>
    </xf>
    <xf numFmtId="0" fontId="5" fillId="2" borderId="12" xfId="0" applyFont="1" applyFill="1" applyBorder="1" applyAlignment="1">
      <alignment horizontal="center" vertical="top"/>
    </xf>
    <xf numFmtId="0" fontId="5" fillId="2" borderId="14" xfId="0" applyFont="1" applyFill="1" applyBorder="1" applyAlignment="1">
      <alignment horizontal="center" vertical="top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left" vertical="center"/>
    </xf>
    <xf numFmtId="0" fontId="14" fillId="0" borderId="15" xfId="0" applyFont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 vertical="center" wrapText="1"/>
    </xf>
    <xf numFmtId="0" fontId="6" fillId="8" borderId="28" xfId="0" applyFont="1" applyFill="1" applyBorder="1" applyAlignment="1">
      <alignment horizontal="center" vertical="center" wrapText="1"/>
    </xf>
    <xf numFmtId="0" fontId="6" fillId="8" borderId="30" xfId="0" applyFont="1" applyFill="1" applyBorder="1" applyAlignment="1">
      <alignment horizontal="center" vertical="center" wrapText="1"/>
    </xf>
    <xf numFmtId="0" fontId="6" fillId="8" borderId="31" xfId="0" applyFont="1" applyFill="1" applyBorder="1" applyAlignment="1">
      <alignment horizontal="center" vertical="center" wrapText="1"/>
    </xf>
    <xf numFmtId="0" fontId="6" fillId="8" borderId="32" xfId="0" applyFont="1" applyFill="1" applyBorder="1" applyAlignment="1">
      <alignment horizontal="center" vertical="center" wrapText="1"/>
    </xf>
    <xf numFmtId="0" fontId="2" fillId="3" borderId="33" xfId="0" applyFont="1" applyFill="1" applyBorder="1" applyAlignment="1" applyProtection="1">
      <alignment horizontal="left" vertical="center" wrapText="1"/>
      <protection locked="0"/>
    </xf>
    <xf numFmtId="0" fontId="0" fillId="0" borderId="34" xfId="0" applyBorder="1" applyAlignment="1" applyProtection="1">
      <alignment horizontal="left" vertical="center" wrapText="1"/>
      <protection locked="0"/>
    </xf>
    <xf numFmtId="0" fontId="0" fillId="0" borderId="35" xfId="0" applyBorder="1" applyAlignment="1" applyProtection="1">
      <alignment horizontal="left" vertical="center" wrapText="1"/>
      <protection locked="0"/>
    </xf>
    <xf numFmtId="0" fontId="0" fillId="0" borderId="36" xfId="0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37" xfId="0" applyBorder="1" applyAlignment="1" applyProtection="1">
      <alignment horizontal="left" vertical="center" wrapText="1"/>
      <protection locked="0"/>
    </xf>
    <xf numFmtId="0" fontId="0" fillId="0" borderId="38" xfId="0" applyBorder="1" applyAlignment="1" applyProtection="1">
      <alignment horizontal="left" vertical="center" wrapText="1"/>
      <protection locked="0"/>
    </xf>
    <xf numFmtId="0" fontId="0" fillId="0" borderId="39" xfId="0" applyBorder="1" applyAlignment="1" applyProtection="1">
      <alignment horizontal="left" vertical="center" wrapText="1"/>
      <protection locked="0"/>
    </xf>
    <xf numFmtId="0" fontId="0" fillId="0" borderId="21" xfId="0" applyBorder="1" applyAlignment="1" applyProtection="1">
      <alignment horizontal="left" vertical="center" wrapText="1"/>
      <protection locked="0"/>
    </xf>
    <xf numFmtId="0" fontId="15" fillId="3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4" fillId="0" borderId="16" xfId="0" applyFont="1" applyBorder="1" applyAlignment="1">
      <alignment horizontal="right"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2" fillId="3" borderId="16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right" vertical="top"/>
    </xf>
    <xf numFmtId="0" fontId="10" fillId="2" borderId="17" xfId="0" applyFont="1" applyFill="1" applyBorder="1" applyAlignment="1">
      <alignment horizontal="right" vertical="top"/>
    </xf>
    <xf numFmtId="0" fontId="10" fillId="2" borderId="18" xfId="0" applyFont="1" applyFill="1" applyBorder="1" applyAlignment="1">
      <alignment horizontal="right" vertical="top"/>
    </xf>
  </cellXfs>
  <cellStyles count="5">
    <cellStyle name="Currency 2" xfId="1" xr:uid="{00000000-0005-0000-0000-000000000000}"/>
    <cellStyle name="Hyperlink 3" xfId="4" xr:uid="{00000000-0005-0000-0000-000001000000}"/>
    <cellStyle name="Normal" xfId="0" builtinId="0"/>
    <cellStyle name="Normal 2" xfId="2" xr:uid="{00000000-0005-0000-0000-000003000000}"/>
    <cellStyle name="Percent" xfId="3" builtinId="5"/>
  </cellStyles>
  <dxfs count="0"/>
  <tableStyles count="1" defaultTableStyle="TableStyleMedium9" defaultPivotStyle="PivotStyleLight16">
    <tableStyle name="Table Style 1" pivot="0" count="0" xr9:uid="{00000000-0011-0000-FFFF-FFFF00000000}"/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IN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IN" sz="14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D&amp;M 21593 AVR-RCA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1106015828365181E-2"/>
          <c:y val="0.20031989536601971"/>
          <c:w val="0.81430677755676117"/>
          <c:h val="0.54682670784316911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en-IN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Chart'!$B$24:$B$31</c:f>
              <c:strCache>
                <c:ptCount val="8"/>
                <c:pt idx="0">
                  <c:v>Logical Error</c:v>
                </c:pt>
                <c:pt idx="1">
                  <c:v>design issue</c:v>
                </c:pt>
                <c:pt idx="2">
                  <c:v>Miscellaneous</c:v>
                </c:pt>
                <c:pt idx="3">
                  <c:v>Memory related</c:v>
                </c:pt>
                <c:pt idx="4">
                  <c:v>Inaccurate Documentation</c:v>
                </c:pt>
                <c:pt idx="5">
                  <c:v>system Bug</c:v>
                </c:pt>
                <c:pt idx="6">
                  <c:v>Deviation from spec</c:v>
                </c:pt>
                <c:pt idx="7">
                  <c:v>In accurate comments in code</c:v>
                </c:pt>
              </c:strCache>
            </c:strRef>
          </c:cat>
          <c:val>
            <c:numRef>
              <c:f>'Pareto Chart'!$C$24:$C$32</c:f>
              <c:numCache>
                <c:formatCode>0</c:formatCode>
                <c:ptCount val="9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4-44A9-A3E1-A68CD0566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503059328"/>
        <c:axId val="-1503057696"/>
      </c:barChart>
      <c:lineChart>
        <c:grouping val="standard"/>
        <c:varyColors val="0"/>
        <c:ser>
          <c:idx val="1"/>
          <c:order val="1"/>
          <c:cat>
            <c:strRef>
              <c:f>'Pareto Chart'!$B$24:$B$31</c:f>
              <c:strCache>
                <c:ptCount val="8"/>
                <c:pt idx="0">
                  <c:v>Logical Error</c:v>
                </c:pt>
                <c:pt idx="1">
                  <c:v>design issue</c:v>
                </c:pt>
                <c:pt idx="2">
                  <c:v>Miscellaneous</c:v>
                </c:pt>
                <c:pt idx="3">
                  <c:v>Memory related</c:v>
                </c:pt>
                <c:pt idx="4">
                  <c:v>Inaccurate Documentation</c:v>
                </c:pt>
                <c:pt idx="5">
                  <c:v>system Bug</c:v>
                </c:pt>
                <c:pt idx="6">
                  <c:v>Deviation from spec</c:v>
                </c:pt>
                <c:pt idx="7">
                  <c:v>In accurate comments in code</c:v>
                </c:pt>
              </c:strCache>
            </c:strRef>
          </c:cat>
          <c:val>
            <c:numRef>
              <c:f>'Pareto Chart'!$E$24:$E$32</c:f>
              <c:numCache>
                <c:formatCode>0%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34-44A9-A3E1-A68CD0566865}"/>
            </c:ext>
          </c:extLst>
        </c:ser>
        <c:ser>
          <c:idx val="2"/>
          <c:order val="2"/>
          <c:marker>
            <c:symbol val="none"/>
          </c:marker>
          <c:cat>
            <c:strRef>
              <c:f>'Pareto Chart'!$B$24:$B$31</c:f>
              <c:strCache>
                <c:ptCount val="8"/>
                <c:pt idx="0">
                  <c:v>Logical Error</c:v>
                </c:pt>
                <c:pt idx="1">
                  <c:v>design issue</c:v>
                </c:pt>
                <c:pt idx="2">
                  <c:v>Miscellaneous</c:v>
                </c:pt>
                <c:pt idx="3">
                  <c:v>Memory related</c:v>
                </c:pt>
                <c:pt idx="4">
                  <c:v>Inaccurate Documentation</c:v>
                </c:pt>
                <c:pt idx="5">
                  <c:v>system Bug</c:v>
                </c:pt>
                <c:pt idx="6">
                  <c:v>Deviation from spec</c:v>
                </c:pt>
                <c:pt idx="7">
                  <c:v>In accurate comments in code</c:v>
                </c:pt>
              </c:strCache>
            </c:strRef>
          </c:cat>
          <c:val>
            <c:numRef>
              <c:f>'Pareto Chart'!$F$24:$F$32</c:f>
              <c:numCache>
                <c:formatCode>0%</c:formatCode>
                <c:ptCount val="9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34-44A9-A3E1-A68CD0566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03063136"/>
        <c:axId val="-1503056608"/>
      </c:lineChart>
      <c:catAx>
        <c:axId val="-1503059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IN"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503057696"/>
        <c:crosses val="autoZero"/>
        <c:auto val="1"/>
        <c:lblAlgn val="ctr"/>
        <c:lblOffset val="100"/>
        <c:noMultiLvlLbl val="0"/>
      </c:catAx>
      <c:valAx>
        <c:axId val="-15030576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en-IN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/>
                  <a:t>Frequency #  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IN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503059328"/>
        <c:crosses val="autoZero"/>
        <c:crossBetween val="between"/>
      </c:valAx>
      <c:catAx>
        <c:axId val="-1503063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503056608"/>
        <c:crosses val="autoZero"/>
        <c:auto val="1"/>
        <c:lblAlgn val="ctr"/>
        <c:lblOffset val="100"/>
        <c:noMultiLvlLbl val="0"/>
      </c:catAx>
      <c:valAx>
        <c:axId val="-1503056608"/>
        <c:scaling>
          <c:orientation val="minMax"/>
          <c:max val="1"/>
        </c:scaling>
        <c:delete val="0"/>
        <c:axPos val="r"/>
        <c:title>
          <c:tx>
            <c:rich>
              <a:bodyPr/>
              <a:lstStyle/>
              <a:p>
                <a:pPr>
                  <a:defRPr lang="en-IN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/>
                  <a:t>Cumulative % 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IN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503063136"/>
        <c:crosses val="max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22" l="0.25" r="0.25" t="0.75000000000000222" header="0.30000000000000032" footer="0.30000000000000032"/>
    <c:pageSetup paperSize="9"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265833</xdr:colOff>
      <xdr:row>21</xdr:row>
      <xdr:rowOff>258907</xdr:rowOff>
    </xdr:from>
    <xdr:to>
      <xdr:col>19</xdr:col>
      <xdr:colOff>510887</xdr:colOff>
      <xdr:row>37</xdr:row>
      <xdr:rowOff>182707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94C659C1-1A3A-4A1A-9C1F-F2ACE7B4B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346364</xdr:colOff>
      <xdr:row>1</xdr:row>
      <xdr:rowOff>17319</xdr:rowOff>
    </xdr:from>
    <xdr:to>
      <xdr:col>2</xdr:col>
      <xdr:colOff>139627</xdr:colOff>
      <xdr:row>3</xdr:row>
      <xdr:rowOff>145474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5F736D2-477F-4315-AD70-BEB3608446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389" y="188769"/>
          <a:ext cx="1364888" cy="452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0.56108</cdr:x>
      <cdr:y>0.2377</cdr:y>
    </cdr:from>
    <cdr:to>
      <cdr:x>0.8954</cdr:x>
      <cdr:y>0.30437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26406" y="966107"/>
          <a:ext cx="1803272" cy="27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AU" sz="1000" b="1">
              <a:solidFill>
                <a:srgbClr val="92D050"/>
              </a:solidFill>
            </a:rPr>
            <a:t>80% Cut off  (80:20</a:t>
          </a:r>
          <a:r>
            <a:rPr lang="en-AU" sz="1000" b="1" baseline="0">
              <a:solidFill>
                <a:srgbClr val="92D050"/>
              </a:solidFill>
            </a:rPr>
            <a:t> Rule)</a:t>
          </a:r>
          <a:endParaRPr lang="en-AU" sz="1000" b="1">
            <a:solidFill>
              <a:srgbClr val="92D050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238125</xdr:colOff>
      <xdr:row>1</xdr:row>
      <xdr:rowOff>92868</xdr:rowOff>
    </xdr:from>
    <xdr:to>
      <xdr:col>2</xdr:col>
      <xdr:colOff>1095375</xdr:colOff>
      <xdr:row>3</xdr:row>
      <xdr:rowOff>121443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257175"/>
          <a:ext cx="13716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404597</xdr:colOff>
      <xdr:row>4</xdr:row>
      <xdr:rowOff>59314</xdr:rowOff>
    </xdr:from>
    <xdr:to>
      <xdr:col>22</xdr:col>
      <xdr:colOff>266306</xdr:colOff>
      <xdr:row>21</xdr:row>
      <xdr:rowOff>156728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5617FB7-E5C1-4686-B43E-4A4BA7D42EED}"/>
            </a:ext>
          </a:extLst>
        </xdr:cNvPr>
        <xdr:cNvCxnSpPr/>
      </xdr:nvCxnSpPr>
      <xdr:spPr bwMode="auto">
        <a:xfrm>
          <a:off x="14037253" y="726064"/>
          <a:ext cx="1683366" cy="2931102"/>
        </a:xfrm>
        <a:prstGeom prst="straightConnector1">
          <a:avLst/>
        </a:prstGeom>
        <a:ln w="38100"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138546</xdr:colOff>
      <xdr:row>22</xdr:row>
      <xdr:rowOff>66675</xdr:rowOff>
    </xdr:from>
    <xdr:to>
      <xdr:col>16</xdr:col>
      <xdr:colOff>38100</xdr:colOff>
      <xdr:row>40</xdr:row>
      <xdr:rowOff>85256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56858E6-676E-462A-990A-BC1BAB72404B}"/>
            </a:ext>
          </a:extLst>
        </xdr:cNvPr>
        <xdr:cNvCxnSpPr/>
      </xdr:nvCxnSpPr>
      <xdr:spPr bwMode="auto">
        <a:xfrm flipV="1">
          <a:off x="11749521" y="4324350"/>
          <a:ext cx="1728354" cy="2952281"/>
        </a:xfrm>
        <a:prstGeom prst="straightConnector1">
          <a:avLst/>
        </a:prstGeom>
        <a:ln w="38100">
          <a:solidFill>
            <a:schemeClr val="accent1"/>
          </a:solidFill>
          <a:headEnd type="none" w="med" len="med"/>
          <a:tailEnd type="arrow" w="med" len="med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25</xdr:col>
      <xdr:colOff>216477</xdr:colOff>
      <xdr:row>11</xdr:row>
      <xdr:rowOff>43295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CA2FD9C5-B681-49AF-8A0D-ABAA841A8FAD}"/>
            </a:ext>
          </a:extLst>
        </xdr:cNvPr>
        <xdr:cNvSpPr txBox="1"/>
      </xdr:nvSpPr>
      <xdr:spPr>
        <a:xfrm>
          <a:off x="17523402" y="183399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12</xdr:col>
      <xdr:colOff>595312</xdr:colOff>
      <xdr:row>17</xdr:row>
      <xdr:rowOff>83343</xdr:rowOff>
    </xdr:from>
    <xdr:to>
      <xdr:col>15</xdr:col>
      <xdr:colOff>178594</xdr:colOff>
      <xdr:row>17</xdr:row>
      <xdr:rowOff>83344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29EDBE0F-8017-4B75-A27E-2B9C2544CEB1}"/>
            </a:ext>
          </a:extLst>
        </xdr:cNvPr>
        <xdr:cNvCxnSpPr/>
      </xdr:nvCxnSpPr>
      <xdr:spPr bwMode="auto">
        <a:xfrm flipV="1">
          <a:off x="10584656" y="2917031"/>
          <a:ext cx="1404938" cy="1"/>
        </a:xfrm>
        <a:prstGeom prst="straightConnector1">
          <a:avLst/>
        </a:prstGeom>
        <a:ln w="38100"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58450</xdr:colOff>
      <xdr:row>1</xdr:row>
      <xdr:rowOff>165605</xdr:rowOff>
    </xdr:from>
    <xdr:to>
      <xdr:col>23</xdr:col>
      <xdr:colOff>214313</xdr:colOff>
      <xdr:row>42</xdr:row>
      <xdr:rowOff>148936</xdr:rowOff>
    </xdr:to>
    <xdr:grpSp>
      <xdr:nvGrpSpPr>
        <xdr:cNvPr id="149" name="Group 148">
          <a:extLst>
            <a:ext uri="{FF2B5EF4-FFF2-40B4-BE49-F238E27FC236}">
              <a16:creationId xmlns:a16="http://schemas.microsoft.com/office/drawing/2014/main" id="{95B1426E-C46E-4436-85E0-F504D4D3810E}"/>
            </a:ext>
          </a:extLst>
        </xdr:cNvPr>
        <xdr:cNvGrpSpPr/>
      </xdr:nvGrpSpPr>
      <xdr:grpSpPr>
        <a:xfrm>
          <a:off x="7240300" y="337055"/>
          <a:ext cx="10680988" cy="6974681"/>
          <a:chOff x="7244533" y="334938"/>
          <a:chExt cx="10749780" cy="7275248"/>
        </a:xfrm>
      </xdr:grpSpPr>
      <xdr:sp macro="" textlink="">
        <xdr:nvSpPr>
          <xdr:cNvPr id="2" name="Right Arrow 1">
            <a:extLst>
              <a:ext uri="{FF2B5EF4-FFF2-40B4-BE49-F238E27FC236}">
                <a16:creationId xmlns:a16="http://schemas.microsoft.com/office/drawing/2014/main" id="{21E20D30-FB0F-436C-BF14-E8B4D9840377}"/>
              </a:ext>
            </a:extLst>
          </xdr:cNvPr>
          <xdr:cNvSpPr/>
        </xdr:nvSpPr>
        <xdr:spPr bwMode="auto">
          <a:xfrm>
            <a:off x="7281332" y="4249207"/>
            <a:ext cx="10712981" cy="158751"/>
          </a:xfrm>
          <a:prstGeom prst="rightArrow">
            <a:avLst/>
          </a:prstGeom>
          <a:solidFill>
            <a:schemeClr val="accent1"/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en-IN" sz="1100">
              <a:ln>
                <a:solidFill>
                  <a:schemeClr val="accent1">
                    <a:lumMod val="50000"/>
                  </a:schemeClr>
                </a:solidFill>
              </a:ln>
              <a:solidFill>
                <a:schemeClr val="accent1"/>
              </a:solidFill>
            </a:endParaRPr>
          </a:p>
        </xdr:txBody>
      </xdr:sp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0DB96790-6E37-4B07-974F-9ABDBC2F8B0D}"/>
              </a:ext>
            </a:extLst>
          </xdr:cNvPr>
          <xdr:cNvCxnSpPr/>
        </xdr:nvCxnSpPr>
        <xdr:spPr bwMode="auto">
          <a:xfrm>
            <a:off x="8110204" y="820690"/>
            <a:ext cx="1704291" cy="3444393"/>
          </a:xfrm>
          <a:prstGeom prst="straightConnector1">
            <a:avLst/>
          </a:prstGeom>
          <a:ln w="38100"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2165914C-319E-445F-AA8C-43C6B901AED5}"/>
              </a:ext>
            </a:extLst>
          </xdr:cNvPr>
          <xdr:cNvCxnSpPr/>
        </xdr:nvCxnSpPr>
        <xdr:spPr bwMode="auto">
          <a:xfrm flipV="1">
            <a:off x="8092887" y="4412286"/>
            <a:ext cx="1696339" cy="2808058"/>
          </a:xfrm>
          <a:prstGeom prst="straightConnector1">
            <a:avLst/>
          </a:prstGeom>
          <a:ln w="38100">
            <a:solidFill>
              <a:schemeClr val="accent1"/>
            </a:solidFill>
            <a:headEnd type="none" w="med" len="med"/>
            <a:tailEnd type="arrow" w="med" len="med"/>
          </a:ln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AEDB8F47-7801-4424-971B-2065832F499A}"/>
              </a:ext>
            </a:extLst>
          </xdr:cNvPr>
          <xdr:cNvCxnSpPr/>
        </xdr:nvCxnSpPr>
        <xdr:spPr bwMode="auto">
          <a:xfrm>
            <a:off x="11762893" y="829349"/>
            <a:ext cx="1729799" cy="3429384"/>
          </a:xfrm>
          <a:prstGeom prst="straightConnector1">
            <a:avLst/>
          </a:prstGeom>
          <a:ln w="38100"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Straight Arrow Connector 7">
            <a:extLst>
              <a:ext uri="{FF2B5EF4-FFF2-40B4-BE49-F238E27FC236}">
                <a16:creationId xmlns:a16="http://schemas.microsoft.com/office/drawing/2014/main" id="{26A06C8B-92FD-42A0-9F05-F71EB646B484}"/>
              </a:ext>
            </a:extLst>
          </xdr:cNvPr>
          <xdr:cNvCxnSpPr/>
        </xdr:nvCxnSpPr>
        <xdr:spPr bwMode="auto">
          <a:xfrm flipV="1">
            <a:off x="15695708" y="4414236"/>
            <a:ext cx="1701873" cy="2808058"/>
          </a:xfrm>
          <a:prstGeom prst="straightConnector1">
            <a:avLst/>
          </a:prstGeom>
          <a:ln w="38100">
            <a:solidFill>
              <a:schemeClr val="accent1"/>
            </a:solidFill>
            <a:headEnd type="none" w="med" len="med"/>
            <a:tailEnd type="arrow" w="med" len="med"/>
          </a:ln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  <xdr:sp macro="" textlink="">
        <xdr:nvSpPr>
          <xdr:cNvPr id="99" name="Rounded Rectangle 182">
            <a:extLst>
              <a:ext uri="{FF2B5EF4-FFF2-40B4-BE49-F238E27FC236}">
                <a16:creationId xmlns:a16="http://schemas.microsoft.com/office/drawing/2014/main" id="{0C728F48-5BF1-44D9-9783-DC4305939956}"/>
              </a:ext>
            </a:extLst>
          </xdr:cNvPr>
          <xdr:cNvSpPr/>
        </xdr:nvSpPr>
        <xdr:spPr bwMode="auto">
          <a:xfrm>
            <a:off x="7296493" y="377152"/>
            <a:ext cx="1664590" cy="434879"/>
          </a:xfrm>
          <a:prstGeom prst="roundRect">
            <a:avLst/>
          </a:prstGeom>
          <a:solidFill>
            <a:srgbClr val="FFFFFF"/>
          </a:solidFill>
          <a:ln w="2857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en-IN" sz="1200">
                <a:latin typeface="Times New Roman" panose="02020603050405020304" pitchFamily="18" charset="0"/>
                <a:cs typeface="Times New Roman" panose="02020603050405020304" pitchFamily="18" charset="0"/>
              </a:rPr>
              <a:t>Measurement</a:t>
            </a:r>
          </a:p>
        </xdr:txBody>
      </xdr:sp>
      <xdr:sp macro="" textlink="">
        <xdr:nvSpPr>
          <xdr:cNvPr id="100" name="Rounded Rectangle 190">
            <a:extLst>
              <a:ext uri="{FF2B5EF4-FFF2-40B4-BE49-F238E27FC236}">
                <a16:creationId xmlns:a16="http://schemas.microsoft.com/office/drawing/2014/main" id="{B48168C7-8B46-4C7F-9000-5B6EF092D4E6}"/>
              </a:ext>
            </a:extLst>
          </xdr:cNvPr>
          <xdr:cNvSpPr/>
        </xdr:nvSpPr>
        <xdr:spPr bwMode="auto">
          <a:xfrm>
            <a:off x="10985500" y="411787"/>
            <a:ext cx="1676977" cy="434879"/>
          </a:xfrm>
          <a:prstGeom prst="roundRect">
            <a:avLst/>
          </a:prstGeom>
          <a:solidFill>
            <a:srgbClr val="FFFFFF"/>
          </a:solidFill>
          <a:ln w="2857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en-IN" sz="1200">
                <a:latin typeface="Times New Roman" panose="02020603050405020304" pitchFamily="18" charset="0"/>
                <a:cs typeface="Times New Roman" panose="02020603050405020304" pitchFamily="18" charset="0"/>
              </a:rPr>
              <a:t>Material/Input/Reference</a:t>
            </a:r>
            <a:endParaRPr lang="en-IN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1" name="Rounded Rectangle 191">
            <a:extLst>
              <a:ext uri="{FF2B5EF4-FFF2-40B4-BE49-F238E27FC236}">
                <a16:creationId xmlns:a16="http://schemas.microsoft.com/office/drawing/2014/main" id="{A55E2B13-3E7E-41B5-8367-5B5CA5A14821}"/>
              </a:ext>
            </a:extLst>
          </xdr:cNvPr>
          <xdr:cNvSpPr/>
        </xdr:nvSpPr>
        <xdr:spPr bwMode="auto">
          <a:xfrm>
            <a:off x="14853708" y="334938"/>
            <a:ext cx="1670363" cy="458692"/>
          </a:xfrm>
          <a:prstGeom prst="roundRect">
            <a:avLst/>
          </a:prstGeom>
          <a:solidFill>
            <a:srgbClr val="FFFFFF"/>
          </a:solidFill>
          <a:ln w="2857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en-IN" sz="1200">
                <a:latin typeface="Times New Roman" panose="02020603050405020304" pitchFamily="18" charset="0"/>
                <a:cs typeface="Times New Roman" panose="02020603050405020304" pitchFamily="18" charset="0"/>
              </a:rPr>
              <a:t>Man/People/Staff</a:t>
            </a:r>
            <a:endParaRPr lang="en-IN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2" name="Rounded Rectangle 195">
            <a:extLst>
              <a:ext uri="{FF2B5EF4-FFF2-40B4-BE49-F238E27FC236}">
                <a16:creationId xmlns:a16="http://schemas.microsoft.com/office/drawing/2014/main" id="{94384274-2876-4165-8F53-030B7CA449A9}"/>
              </a:ext>
            </a:extLst>
          </xdr:cNvPr>
          <xdr:cNvSpPr/>
        </xdr:nvSpPr>
        <xdr:spPr bwMode="auto">
          <a:xfrm>
            <a:off x="7244533" y="7245493"/>
            <a:ext cx="1664590" cy="360795"/>
          </a:xfrm>
          <a:prstGeom prst="roundRect">
            <a:avLst/>
          </a:prstGeom>
          <a:solidFill>
            <a:srgbClr val="FFFFFF"/>
          </a:solidFill>
          <a:ln w="2857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en-IN" sz="1200">
                <a:latin typeface="Times New Roman" panose="02020603050405020304" pitchFamily="18" charset="0"/>
                <a:cs typeface="Times New Roman" panose="02020603050405020304" pitchFamily="18" charset="0"/>
              </a:rPr>
              <a:t>Environment</a:t>
            </a:r>
          </a:p>
        </xdr:txBody>
      </xdr:sp>
      <xdr:sp macro="" textlink="">
        <xdr:nvSpPr>
          <xdr:cNvPr id="103" name="Rounded Rectangle 196">
            <a:extLst>
              <a:ext uri="{FF2B5EF4-FFF2-40B4-BE49-F238E27FC236}">
                <a16:creationId xmlns:a16="http://schemas.microsoft.com/office/drawing/2014/main" id="{4E9B9D1D-7AC0-4C42-907B-4CF485535A4E}"/>
              </a:ext>
            </a:extLst>
          </xdr:cNvPr>
          <xdr:cNvSpPr/>
        </xdr:nvSpPr>
        <xdr:spPr bwMode="auto">
          <a:xfrm>
            <a:off x="10939823" y="7218218"/>
            <a:ext cx="1676977" cy="360795"/>
          </a:xfrm>
          <a:prstGeom prst="roundRect">
            <a:avLst/>
          </a:prstGeom>
          <a:solidFill>
            <a:srgbClr val="FFFFFF"/>
          </a:solidFill>
          <a:ln w="2857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en-IN" sz="1200">
                <a:latin typeface="Times New Roman" panose="02020603050405020304" pitchFamily="18" charset="0"/>
                <a:cs typeface="Times New Roman" panose="02020603050405020304" pitchFamily="18" charset="0"/>
              </a:rPr>
              <a:t>Method/Process/Procedure</a:t>
            </a:r>
          </a:p>
        </xdr:txBody>
      </xdr:sp>
      <xdr:sp macro="" textlink="">
        <xdr:nvSpPr>
          <xdr:cNvPr id="104" name="Rounded Rectangle 197">
            <a:extLst>
              <a:ext uri="{FF2B5EF4-FFF2-40B4-BE49-F238E27FC236}">
                <a16:creationId xmlns:a16="http://schemas.microsoft.com/office/drawing/2014/main" id="{DFB9870F-668E-4A40-8206-1DBCE5F5DF85}"/>
              </a:ext>
            </a:extLst>
          </xdr:cNvPr>
          <xdr:cNvSpPr/>
        </xdr:nvSpPr>
        <xdr:spPr bwMode="auto">
          <a:xfrm>
            <a:off x="14870593" y="7249391"/>
            <a:ext cx="1670363" cy="360795"/>
          </a:xfrm>
          <a:prstGeom prst="roundRect">
            <a:avLst/>
          </a:prstGeom>
          <a:solidFill>
            <a:srgbClr val="FFFFFF"/>
          </a:solidFill>
          <a:ln w="2857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en-IN" sz="1200">
                <a:latin typeface="Times New Roman" panose="02020603050405020304" pitchFamily="18" charset="0"/>
                <a:cs typeface="Times New Roman" panose="02020603050405020304" pitchFamily="18" charset="0"/>
              </a:rPr>
              <a:t>Machine/Hardware</a:t>
            </a:r>
            <a:endParaRPr lang="en-IN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cxnSp macro="">
        <xdr:nvCxnSpPr>
          <xdr:cNvPr id="112" name="Straight Arrow Connector 111">
            <a:extLst>
              <a:ext uri="{FF2B5EF4-FFF2-40B4-BE49-F238E27FC236}">
                <a16:creationId xmlns:a16="http://schemas.microsoft.com/office/drawing/2014/main" id="{01798DFA-4973-495E-AFF6-52608F1D319C}"/>
              </a:ext>
            </a:extLst>
          </xdr:cNvPr>
          <xdr:cNvCxnSpPr/>
        </xdr:nvCxnSpPr>
        <xdr:spPr bwMode="auto">
          <a:xfrm flipV="1">
            <a:off x="15356417" y="1439333"/>
            <a:ext cx="687916" cy="7937"/>
          </a:xfrm>
          <a:prstGeom prst="straightConnector1">
            <a:avLst/>
          </a:prstGeom>
          <a:ln w="38100"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4" name="Straight Arrow Connector 113">
            <a:extLst>
              <a:ext uri="{FF2B5EF4-FFF2-40B4-BE49-F238E27FC236}">
                <a16:creationId xmlns:a16="http://schemas.microsoft.com/office/drawing/2014/main" id="{33E244C5-898B-4312-A880-0A30C37465C3}"/>
              </a:ext>
            </a:extLst>
          </xdr:cNvPr>
          <xdr:cNvCxnSpPr/>
        </xdr:nvCxnSpPr>
        <xdr:spPr bwMode="auto">
          <a:xfrm>
            <a:off x="15348480" y="2434167"/>
            <a:ext cx="1161520" cy="0"/>
          </a:xfrm>
          <a:prstGeom prst="straightConnector1">
            <a:avLst/>
          </a:prstGeom>
          <a:ln w="38100"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6" name="Straight Arrow Connector 115">
            <a:extLst>
              <a:ext uri="{FF2B5EF4-FFF2-40B4-BE49-F238E27FC236}">
                <a16:creationId xmlns:a16="http://schemas.microsoft.com/office/drawing/2014/main" id="{CF58A973-18F4-4D50-9B08-A05539BDD3F9}"/>
              </a:ext>
            </a:extLst>
          </xdr:cNvPr>
          <xdr:cNvCxnSpPr/>
        </xdr:nvCxnSpPr>
        <xdr:spPr bwMode="auto">
          <a:xfrm>
            <a:off x="15324667" y="3418416"/>
            <a:ext cx="1680103" cy="0"/>
          </a:xfrm>
          <a:prstGeom prst="straightConnector1">
            <a:avLst/>
          </a:prstGeom>
          <a:ln w="38100"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7" name="Straight Arrow Connector 116">
            <a:extLst>
              <a:ext uri="{FF2B5EF4-FFF2-40B4-BE49-F238E27FC236}">
                <a16:creationId xmlns:a16="http://schemas.microsoft.com/office/drawing/2014/main" id="{3F8F36F4-9996-43FC-B18A-E1F0221D8F64}"/>
              </a:ext>
            </a:extLst>
          </xdr:cNvPr>
          <xdr:cNvCxnSpPr/>
        </xdr:nvCxnSpPr>
        <xdr:spPr bwMode="auto">
          <a:xfrm flipV="1">
            <a:off x="15348480" y="6604000"/>
            <a:ext cx="732895" cy="11907"/>
          </a:xfrm>
          <a:prstGeom prst="straightConnector1">
            <a:avLst/>
          </a:prstGeom>
          <a:ln w="38100"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9" name="Straight Arrow Connector 118">
            <a:extLst>
              <a:ext uri="{FF2B5EF4-FFF2-40B4-BE49-F238E27FC236}">
                <a16:creationId xmlns:a16="http://schemas.microsoft.com/office/drawing/2014/main" id="{3CCB0BD1-BDC7-439F-93DE-789419216DEB}"/>
              </a:ext>
            </a:extLst>
          </xdr:cNvPr>
          <xdr:cNvCxnSpPr/>
        </xdr:nvCxnSpPr>
        <xdr:spPr bwMode="auto">
          <a:xfrm flipV="1">
            <a:off x="15324667" y="5627687"/>
            <a:ext cx="1358634" cy="11908"/>
          </a:xfrm>
          <a:prstGeom prst="straightConnector1">
            <a:avLst/>
          </a:prstGeom>
          <a:ln w="38100"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1" name="Straight Arrow Connector 120">
            <a:extLst>
              <a:ext uri="{FF2B5EF4-FFF2-40B4-BE49-F238E27FC236}">
                <a16:creationId xmlns:a16="http://schemas.microsoft.com/office/drawing/2014/main" id="{D3E2D92D-EE2D-4018-A354-82068E492B64}"/>
              </a:ext>
            </a:extLst>
          </xdr:cNvPr>
          <xdr:cNvCxnSpPr/>
        </xdr:nvCxnSpPr>
        <xdr:spPr bwMode="auto">
          <a:xfrm flipV="1">
            <a:off x="15324667" y="4824676"/>
            <a:ext cx="1853406" cy="1"/>
          </a:xfrm>
          <a:prstGeom prst="straightConnector1">
            <a:avLst/>
          </a:prstGeom>
          <a:ln w="38100"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" name="Straight Arrow Connector 122">
            <a:extLst>
              <a:ext uri="{FF2B5EF4-FFF2-40B4-BE49-F238E27FC236}">
                <a16:creationId xmlns:a16="http://schemas.microsoft.com/office/drawing/2014/main" id="{12C66FDE-085E-4A3E-AB4E-FEBB4EDFB1F3}"/>
              </a:ext>
            </a:extLst>
          </xdr:cNvPr>
          <xdr:cNvCxnSpPr/>
        </xdr:nvCxnSpPr>
        <xdr:spPr bwMode="auto">
          <a:xfrm>
            <a:off x="11641667" y="1451239"/>
            <a:ext cx="416718" cy="0"/>
          </a:xfrm>
          <a:prstGeom prst="straightConnector1">
            <a:avLst/>
          </a:prstGeom>
          <a:ln w="38100"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5" name="Straight Arrow Connector 124">
            <a:extLst>
              <a:ext uri="{FF2B5EF4-FFF2-40B4-BE49-F238E27FC236}">
                <a16:creationId xmlns:a16="http://schemas.microsoft.com/office/drawing/2014/main" id="{4B4E5CD3-3322-40BE-9F6B-B117B946F76F}"/>
              </a:ext>
            </a:extLst>
          </xdr:cNvPr>
          <xdr:cNvCxnSpPr/>
        </xdr:nvCxnSpPr>
        <xdr:spPr bwMode="auto">
          <a:xfrm flipV="1">
            <a:off x="11641667" y="2434167"/>
            <a:ext cx="911489" cy="1"/>
          </a:xfrm>
          <a:prstGeom prst="straightConnector1">
            <a:avLst/>
          </a:prstGeom>
          <a:ln w="38100"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" name="Straight Arrow Connector 128">
            <a:extLst>
              <a:ext uri="{FF2B5EF4-FFF2-40B4-BE49-F238E27FC236}">
                <a16:creationId xmlns:a16="http://schemas.microsoft.com/office/drawing/2014/main" id="{87AF98CF-8BA7-4BCE-B96F-21F6BE81E0C3}"/>
              </a:ext>
            </a:extLst>
          </xdr:cNvPr>
          <xdr:cNvCxnSpPr/>
        </xdr:nvCxnSpPr>
        <xdr:spPr bwMode="auto">
          <a:xfrm flipV="1">
            <a:off x="11653573" y="4824676"/>
            <a:ext cx="1596760" cy="11909"/>
          </a:xfrm>
          <a:prstGeom prst="straightConnector1">
            <a:avLst/>
          </a:prstGeom>
          <a:ln w="38100"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" name="Straight Arrow Connector 130">
            <a:extLst>
              <a:ext uri="{FF2B5EF4-FFF2-40B4-BE49-F238E27FC236}">
                <a16:creationId xmlns:a16="http://schemas.microsoft.com/office/drawing/2014/main" id="{F2371BFE-35BD-4453-866C-1CF130DDF21D}"/>
              </a:ext>
            </a:extLst>
          </xdr:cNvPr>
          <xdr:cNvCxnSpPr/>
        </xdr:nvCxnSpPr>
        <xdr:spPr bwMode="auto">
          <a:xfrm flipV="1">
            <a:off x="11637432" y="5632450"/>
            <a:ext cx="1113368" cy="7147"/>
          </a:xfrm>
          <a:prstGeom prst="straightConnector1">
            <a:avLst/>
          </a:prstGeom>
          <a:ln w="38100"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3" name="Straight Arrow Connector 132">
            <a:extLst>
              <a:ext uri="{FF2B5EF4-FFF2-40B4-BE49-F238E27FC236}">
                <a16:creationId xmlns:a16="http://schemas.microsoft.com/office/drawing/2014/main" id="{6930FCCD-92B0-46EB-AB55-2722B84470FB}"/>
              </a:ext>
            </a:extLst>
          </xdr:cNvPr>
          <xdr:cNvCxnSpPr/>
        </xdr:nvCxnSpPr>
        <xdr:spPr bwMode="auto">
          <a:xfrm flipV="1">
            <a:off x="11653572" y="6580187"/>
            <a:ext cx="559594" cy="11909"/>
          </a:xfrm>
          <a:prstGeom prst="straightConnector1">
            <a:avLst/>
          </a:prstGeom>
          <a:ln w="38100"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5" name="Straight Arrow Connector 134">
            <a:extLst>
              <a:ext uri="{FF2B5EF4-FFF2-40B4-BE49-F238E27FC236}">
                <a16:creationId xmlns:a16="http://schemas.microsoft.com/office/drawing/2014/main" id="{4527E5B5-ED91-4E59-B6F9-7434C9951900}"/>
              </a:ext>
            </a:extLst>
          </xdr:cNvPr>
          <xdr:cNvCxnSpPr/>
        </xdr:nvCxnSpPr>
        <xdr:spPr bwMode="auto">
          <a:xfrm>
            <a:off x="7970574" y="1427427"/>
            <a:ext cx="416718" cy="0"/>
          </a:xfrm>
          <a:prstGeom prst="straightConnector1">
            <a:avLst/>
          </a:prstGeom>
          <a:ln w="38100"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6" name="Straight Arrow Connector 135">
            <a:extLst>
              <a:ext uri="{FF2B5EF4-FFF2-40B4-BE49-F238E27FC236}">
                <a16:creationId xmlns:a16="http://schemas.microsoft.com/office/drawing/2014/main" id="{5863E202-D2DF-4B0B-926A-BEA732D291EB}"/>
              </a:ext>
            </a:extLst>
          </xdr:cNvPr>
          <xdr:cNvCxnSpPr/>
        </xdr:nvCxnSpPr>
        <xdr:spPr bwMode="auto">
          <a:xfrm flipV="1">
            <a:off x="7970574" y="2422260"/>
            <a:ext cx="911489" cy="1"/>
          </a:xfrm>
          <a:prstGeom prst="straightConnector1">
            <a:avLst/>
          </a:prstGeom>
          <a:ln w="38100"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7" name="Straight Arrow Connector 136">
            <a:extLst>
              <a:ext uri="{FF2B5EF4-FFF2-40B4-BE49-F238E27FC236}">
                <a16:creationId xmlns:a16="http://schemas.microsoft.com/office/drawing/2014/main" id="{9B54E8E4-5EE6-4591-82CF-FF0F4C1794CA}"/>
              </a:ext>
            </a:extLst>
          </xdr:cNvPr>
          <xdr:cNvCxnSpPr/>
        </xdr:nvCxnSpPr>
        <xdr:spPr bwMode="auto">
          <a:xfrm flipV="1">
            <a:off x="7958668" y="3418417"/>
            <a:ext cx="1418166" cy="1"/>
          </a:xfrm>
          <a:prstGeom prst="straightConnector1">
            <a:avLst/>
          </a:prstGeom>
          <a:ln w="38100"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8" name="Straight Arrow Connector 137">
            <a:extLst>
              <a:ext uri="{FF2B5EF4-FFF2-40B4-BE49-F238E27FC236}">
                <a16:creationId xmlns:a16="http://schemas.microsoft.com/office/drawing/2014/main" id="{F91CAF2D-2FB3-44A4-B7DD-7E4F85037F36}"/>
              </a:ext>
            </a:extLst>
          </xdr:cNvPr>
          <xdr:cNvCxnSpPr/>
        </xdr:nvCxnSpPr>
        <xdr:spPr bwMode="auto">
          <a:xfrm flipV="1">
            <a:off x="7948083" y="4812770"/>
            <a:ext cx="1595437" cy="11909"/>
          </a:xfrm>
          <a:prstGeom prst="straightConnector1">
            <a:avLst/>
          </a:prstGeom>
          <a:ln w="38100"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9" name="Straight Arrow Connector 138">
            <a:extLst>
              <a:ext uri="{FF2B5EF4-FFF2-40B4-BE49-F238E27FC236}">
                <a16:creationId xmlns:a16="http://schemas.microsoft.com/office/drawing/2014/main" id="{7F6BA239-7679-43FE-96AE-CDBE62BB0029}"/>
              </a:ext>
            </a:extLst>
          </xdr:cNvPr>
          <xdr:cNvCxnSpPr/>
        </xdr:nvCxnSpPr>
        <xdr:spPr bwMode="auto">
          <a:xfrm flipV="1">
            <a:off x="7948084" y="5615781"/>
            <a:ext cx="1124478" cy="11910"/>
          </a:xfrm>
          <a:prstGeom prst="straightConnector1">
            <a:avLst/>
          </a:prstGeom>
          <a:ln w="38100"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1" name="Straight Arrow Connector 140">
            <a:extLst>
              <a:ext uri="{FF2B5EF4-FFF2-40B4-BE49-F238E27FC236}">
                <a16:creationId xmlns:a16="http://schemas.microsoft.com/office/drawing/2014/main" id="{1D2ACD98-0939-47E9-9273-50670FEB76A6}"/>
              </a:ext>
            </a:extLst>
          </xdr:cNvPr>
          <xdr:cNvCxnSpPr/>
        </xdr:nvCxnSpPr>
        <xdr:spPr bwMode="auto">
          <a:xfrm flipV="1">
            <a:off x="7970574" y="6592094"/>
            <a:ext cx="488156" cy="4"/>
          </a:xfrm>
          <a:prstGeom prst="straightConnector1">
            <a:avLst/>
          </a:prstGeom>
          <a:ln w="38100"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152400</xdr:colOff>
      <xdr:row>1</xdr:row>
      <xdr:rowOff>47625</xdr:rowOff>
    </xdr:from>
    <xdr:to>
      <xdr:col>2</xdr:col>
      <xdr:colOff>914400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9075"/>
          <a:ext cx="13716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Verve">
      <a:fillStyleLst>
        <a:solidFill>
          <a:schemeClr val="phClr"/>
        </a:solidFill>
        <a:gradFill rotWithShape="1">
          <a:gsLst>
            <a:gs pos="0">
              <a:schemeClr val="phClr">
                <a:tint val="10000"/>
                <a:satMod val="300000"/>
              </a:schemeClr>
            </a:gs>
            <a:gs pos="34000">
              <a:schemeClr val="phClr">
                <a:tint val="13500"/>
                <a:satMod val="250000"/>
              </a:schemeClr>
            </a:gs>
            <a:gs pos="100000">
              <a:schemeClr val="phClr">
                <a:tint val="60000"/>
                <a:satMod val="200000"/>
              </a:schemeClr>
            </a:gs>
          </a:gsLst>
          <a:path path="circle">
            <a:fillToRect l="50000" t="155000" r="50000" b="-55000"/>
          </a:path>
        </a:gradFill>
        <a:gradFill rotWithShape="1">
          <a:gsLst>
            <a:gs pos="0">
              <a:schemeClr val="phClr">
                <a:tint val="60000"/>
                <a:satMod val="160000"/>
              </a:schemeClr>
            </a:gs>
            <a:gs pos="46000">
              <a:schemeClr val="phClr">
                <a:tint val="86000"/>
                <a:satMod val="160000"/>
              </a:schemeClr>
            </a:gs>
            <a:gs pos="100000">
              <a:schemeClr val="phClr">
                <a:shade val="40000"/>
                <a:satMod val="160000"/>
              </a:schemeClr>
            </a:gs>
          </a:gsLst>
          <a:path path="circle">
            <a:fillToRect l="50000" t="155000" r="50000" b="-55000"/>
          </a:path>
        </a:gradFill>
      </a:fillStyleLst>
      <a:lnStyleLst>
        <a:ln w="9525" cap="flat" cmpd="sng" algn="ctr">
          <a:solidFill>
            <a:schemeClr val="phClr">
              <a:satMod val="12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147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38100" dir="14700000" algn="t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50800" dist="38100" dir="14700000" algn="t" rotWithShape="0">
              <a:srgbClr val="000000">
                <a:alpha val="60000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"/>
  <sheetViews>
    <sheetView tabSelected="1" topLeftCell="A11" zoomScale="70" zoomScaleNormal="70" workbookViewId="0">
      <selection activeCell="F27" sqref="F27"/>
    </sheetView>
  </sheetViews>
  <sheetFormatPr defaultColWidth="9.140625" defaultRowHeight="12.95"/>
  <cols>
    <col min="1" max="1" width="3" style="58" bestFit="1" customWidth="1"/>
    <col min="2" max="2" width="23.5703125" style="58" customWidth="1"/>
    <col min="3" max="3" width="10.5703125" style="58" bestFit="1" customWidth="1"/>
    <col min="4" max="4" width="12" style="58" customWidth="1"/>
    <col min="5" max="5" width="14.28515625" style="58" bestFit="1" customWidth="1"/>
    <col min="6" max="6" width="12" style="58" customWidth="1"/>
    <col min="7" max="7" width="6.5703125" style="58" bestFit="1" customWidth="1"/>
    <col min="8" max="8" width="6.7109375" style="58" bestFit="1" customWidth="1"/>
    <col min="9" max="16384" width="9.140625" style="58"/>
  </cols>
  <sheetData>
    <row r="1" spans="1:21" ht="13.5" thickBot="1"/>
    <row r="2" spans="1:21" ht="12.75" customHeight="1">
      <c r="B2" s="107"/>
      <c r="C2" s="108"/>
      <c r="D2" s="113" t="s">
        <v>0</v>
      </c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5"/>
    </row>
    <row r="3" spans="1:21" ht="12.75" customHeight="1">
      <c r="B3" s="109"/>
      <c r="C3" s="110"/>
      <c r="D3" s="116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8"/>
    </row>
    <row r="4" spans="1:21" ht="13.5" customHeight="1" thickBot="1">
      <c r="B4" s="111"/>
      <c r="C4" s="112"/>
      <c r="D4" s="119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1"/>
    </row>
    <row r="6" spans="1:21" ht="21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</row>
    <row r="7" spans="1:21" ht="21">
      <c r="A7" s="59"/>
      <c r="B7" s="122" t="s">
        <v>1</v>
      </c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</row>
    <row r="8" spans="1:21" ht="21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</row>
    <row r="9" spans="1:21" ht="21">
      <c r="A9" s="59"/>
      <c r="B9" s="123" t="s">
        <v>2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</row>
    <row r="10" spans="1:21" ht="21" customHeight="1">
      <c r="A10" s="59"/>
      <c r="B10" s="124" t="s">
        <v>3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</row>
    <row r="11" spans="1:21" ht="21">
      <c r="A11" s="59"/>
      <c r="B11" s="123" t="s">
        <v>4</v>
      </c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</row>
    <row r="12" spans="1:21" ht="21">
      <c r="A12" s="59"/>
      <c r="B12" s="133" t="s">
        <v>5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</row>
    <row r="13" spans="1:21" ht="21">
      <c r="A13" s="59"/>
      <c r="B13" s="60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2"/>
      <c r="O13" s="62"/>
      <c r="P13" s="62"/>
    </row>
    <row r="14" spans="1:21" ht="21">
      <c r="A14" s="59"/>
      <c r="B14" s="134" t="s">
        <v>6</v>
      </c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</row>
    <row r="15" spans="1:21" ht="21">
      <c r="A15" s="59"/>
      <c r="B15" s="123" t="s">
        <v>7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</row>
    <row r="16" spans="1:21" ht="21">
      <c r="A16" s="59"/>
      <c r="B16" s="123" t="s">
        <v>8</v>
      </c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</row>
    <row r="17" spans="1:16" ht="21">
      <c r="A17" s="59"/>
      <c r="B17" s="61" t="s">
        <v>9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</row>
    <row r="18" spans="1:16" ht="21">
      <c r="A18" s="59"/>
      <c r="B18" s="123" t="s">
        <v>10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</row>
    <row r="19" spans="1:16" ht="29.25" customHeight="1">
      <c r="A19" s="59"/>
      <c r="B19" s="135" t="s">
        <v>11</v>
      </c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</row>
    <row r="20" spans="1:16" ht="21">
      <c r="A20" s="59"/>
      <c r="B20" s="131" t="s">
        <v>12</v>
      </c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</row>
    <row r="21" spans="1:16" ht="2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</row>
    <row r="22" spans="1:16" ht="59.25" customHeight="1">
      <c r="A22" s="63"/>
      <c r="B22" s="63"/>
      <c r="C22" s="63"/>
      <c r="D22" s="64" t="s">
        <v>13</v>
      </c>
      <c r="E22" s="64" t="s">
        <v>13</v>
      </c>
      <c r="F22" s="64" t="s">
        <v>13</v>
      </c>
      <c r="G22" s="65"/>
      <c r="H22" s="65"/>
    </row>
    <row r="23" spans="1:16" s="71" customFormat="1" ht="30.75">
      <c r="A23" s="66"/>
      <c r="B23" s="67" t="s">
        <v>14</v>
      </c>
      <c r="C23" s="68" t="s">
        <v>15</v>
      </c>
      <c r="D23" s="69" t="s">
        <v>16</v>
      </c>
      <c r="E23" s="69" t="s">
        <v>17</v>
      </c>
      <c r="F23" s="69" t="s">
        <v>18</v>
      </c>
      <c r="G23" s="70"/>
      <c r="H23" s="70"/>
    </row>
    <row r="24" spans="1:16" s="71" customFormat="1" ht="15">
      <c r="A24" s="72"/>
      <c r="B24" s="73" t="s">
        <v>19</v>
      </c>
      <c r="C24" s="74">
        <v>2</v>
      </c>
      <c r="D24" s="75">
        <f>C24</f>
        <v>2</v>
      </c>
      <c r="E24" s="76">
        <f>D24/$C$33</f>
        <v>1</v>
      </c>
      <c r="F24" s="77">
        <v>0.8</v>
      </c>
      <c r="G24" s="78"/>
      <c r="H24" s="72"/>
    </row>
    <row r="25" spans="1:16" s="71" customFormat="1" ht="15">
      <c r="A25" s="72"/>
      <c r="B25" s="73" t="s">
        <v>20</v>
      </c>
      <c r="C25" s="74">
        <v>0</v>
      </c>
      <c r="D25" s="75">
        <f>D24+C25</f>
        <v>2</v>
      </c>
      <c r="E25" s="76">
        <f t="shared" ref="E24:E29" si="0">D25/$C$33</f>
        <v>1</v>
      </c>
      <c r="F25" s="77">
        <v>0.8</v>
      </c>
      <c r="G25" s="78"/>
      <c r="H25" s="72"/>
    </row>
    <row r="26" spans="1:16" s="71" customFormat="1" ht="14.45">
      <c r="A26" s="72"/>
      <c r="B26" s="73" t="s">
        <v>21</v>
      </c>
      <c r="C26" s="74">
        <v>0</v>
      </c>
      <c r="D26" s="75">
        <f>D25+C26</f>
        <v>2</v>
      </c>
      <c r="E26" s="76">
        <f t="shared" si="0"/>
        <v>1</v>
      </c>
      <c r="F26" s="77">
        <v>0.8</v>
      </c>
      <c r="G26" s="78"/>
      <c r="H26" s="72"/>
    </row>
    <row r="27" spans="1:16" s="71" customFormat="1" ht="14.45">
      <c r="A27" s="72"/>
      <c r="B27" s="73" t="s">
        <v>22</v>
      </c>
      <c r="C27" s="74">
        <v>0</v>
      </c>
      <c r="D27" s="75">
        <f>D26+C27</f>
        <v>2</v>
      </c>
      <c r="E27" s="76">
        <f t="shared" si="0"/>
        <v>1</v>
      </c>
      <c r="F27" s="77">
        <v>0.8</v>
      </c>
      <c r="G27" s="78"/>
      <c r="H27" s="72"/>
    </row>
    <row r="28" spans="1:16" s="71" customFormat="1" ht="14.45">
      <c r="A28" s="72"/>
      <c r="B28" s="73" t="s">
        <v>23</v>
      </c>
      <c r="C28" s="74">
        <v>0</v>
      </c>
      <c r="D28" s="75">
        <f>D27+C28</f>
        <v>2</v>
      </c>
      <c r="E28" s="76">
        <f t="shared" si="0"/>
        <v>1</v>
      </c>
      <c r="F28" s="77">
        <v>0.8</v>
      </c>
      <c r="G28" s="78"/>
      <c r="H28" s="72"/>
    </row>
    <row r="29" spans="1:16" s="71" customFormat="1" ht="14.45">
      <c r="A29" s="72"/>
      <c r="B29" s="73" t="s">
        <v>24</v>
      </c>
      <c r="C29" s="74">
        <v>0</v>
      </c>
      <c r="D29" s="75">
        <f>D28+C29</f>
        <v>2</v>
      </c>
      <c r="E29" s="76">
        <f t="shared" si="0"/>
        <v>1</v>
      </c>
      <c r="F29" s="77">
        <v>0.8</v>
      </c>
      <c r="G29" s="78"/>
      <c r="H29" s="72"/>
    </row>
    <row r="30" spans="1:16" s="71" customFormat="1" ht="14.45">
      <c r="A30" s="72"/>
      <c r="B30" s="73" t="s">
        <v>25</v>
      </c>
      <c r="C30" s="74">
        <v>0</v>
      </c>
      <c r="D30" s="75">
        <f t="shared" ref="D30:D31" si="1">D29+C30</f>
        <v>2</v>
      </c>
      <c r="E30" s="76">
        <f t="shared" ref="E30:E31" si="2">D30/$C$33</f>
        <v>1</v>
      </c>
      <c r="F30" s="77">
        <v>0.8</v>
      </c>
      <c r="G30" s="78"/>
      <c r="H30" s="72"/>
    </row>
    <row r="31" spans="1:16" s="71" customFormat="1" ht="26.1">
      <c r="A31" s="72"/>
      <c r="B31" s="73" t="s">
        <v>26</v>
      </c>
      <c r="C31" s="74">
        <v>0</v>
      </c>
      <c r="D31" s="75">
        <f t="shared" si="1"/>
        <v>2</v>
      </c>
      <c r="E31" s="76">
        <f t="shared" si="2"/>
        <v>1</v>
      </c>
      <c r="F31" s="77">
        <v>0.8</v>
      </c>
      <c r="G31" s="78"/>
      <c r="H31" s="72"/>
    </row>
    <row r="32" spans="1:16" s="71" customFormat="1" ht="14.45">
      <c r="A32" s="72"/>
      <c r="C32" s="74"/>
      <c r="D32" s="75"/>
      <c r="E32" s="76"/>
      <c r="F32" s="77"/>
      <c r="G32" s="79"/>
      <c r="H32" s="78"/>
    </row>
    <row r="33" spans="1:8" s="71" customFormat="1" ht="14.45">
      <c r="A33" s="72"/>
      <c r="B33" s="80" t="s">
        <v>27</v>
      </c>
      <c r="C33" s="81">
        <f>SUM(C24:C32)</f>
        <v>2</v>
      </c>
      <c r="D33" s="82"/>
      <c r="E33" s="83"/>
      <c r="F33" s="72"/>
      <c r="G33" s="79"/>
      <c r="H33" s="78"/>
    </row>
    <row r="34" spans="1:8" s="71" customFormat="1" ht="14.45">
      <c r="A34" s="72"/>
      <c r="B34" s="84"/>
      <c r="C34" s="79"/>
      <c r="D34" s="85"/>
      <c r="E34" s="86"/>
      <c r="F34" s="72"/>
      <c r="G34" s="79"/>
      <c r="H34" s="78"/>
    </row>
    <row r="35" spans="1:8" s="71" customFormat="1" ht="27" customHeight="1">
      <c r="A35" s="72"/>
      <c r="B35" s="87"/>
      <c r="C35" s="79"/>
      <c r="E35" s="86"/>
      <c r="F35" s="72"/>
      <c r="G35" s="79"/>
      <c r="H35" s="78"/>
    </row>
    <row r="36" spans="1:8" s="71" customFormat="1" ht="14.45">
      <c r="A36" s="72"/>
      <c r="B36" s="87"/>
      <c r="C36" s="79"/>
      <c r="E36" s="86"/>
      <c r="F36" s="72"/>
      <c r="G36" s="79"/>
      <c r="H36" s="78"/>
    </row>
    <row r="37" spans="1:8" s="71" customFormat="1">
      <c r="A37" s="72"/>
      <c r="B37" s="87"/>
      <c r="C37" s="88"/>
      <c r="D37" s="87"/>
      <c r="E37" s="88"/>
      <c r="F37" s="58"/>
      <c r="G37" s="79"/>
      <c r="H37" s="78"/>
    </row>
    <row r="38" spans="1:8" s="71" customFormat="1">
      <c r="A38" s="72"/>
      <c r="B38" s="87"/>
      <c r="C38" s="88"/>
      <c r="D38" s="58"/>
      <c r="E38" s="88"/>
      <c r="F38" s="58"/>
      <c r="G38" s="79"/>
      <c r="H38" s="78"/>
    </row>
    <row r="39" spans="1:8" ht="12.75" customHeight="1">
      <c r="B39" s="87"/>
      <c r="C39" s="88"/>
      <c r="E39" s="88"/>
    </row>
    <row r="40" spans="1:8">
      <c r="B40" s="87"/>
      <c r="C40" s="88"/>
      <c r="E40" s="88"/>
    </row>
    <row r="41" spans="1:8">
      <c r="B41" s="87"/>
      <c r="C41" s="71"/>
    </row>
    <row r="42" spans="1:8">
      <c r="B42" s="87"/>
      <c r="C42" s="71"/>
    </row>
    <row r="43" spans="1:8">
      <c r="B43" s="87"/>
      <c r="C43" s="71"/>
    </row>
    <row r="44" spans="1:8">
      <c r="B44" s="87"/>
      <c r="C44" s="71"/>
    </row>
    <row r="45" spans="1:8">
      <c r="B45" s="71"/>
      <c r="C45" s="71"/>
    </row>
    <row r="46" spans="1:8">
      <c r="B46" s="71"/>
      <c r="C46" s="71"/>
    </row>
    <row r="47" spans="1:8">
      <c r="B47" s="71"/>
      <c r="C47" s="71"/>
    </row>
    <row r="48" spans="1:8">
      <c r="B48" s="71"/>
      <c r="C48" s="71"/>
    </row>
    <row r="49" spans="2:20" ht="15.6">
      <c r="B49" s="132" t="s">
        <v>28</v>
      </c>
      <c r="C49" s="126"/>
      <c r="D49" s="126"/>
      <c r="E49" s="91" t="s">
        <v>29</v>
      </c>
      <c r="F49" s="125"/>
      <c r="G49" s="126"/>
      <c r="H49" s="127"/>
      <c r="I49" s="125"/>
      <c r="J49" s="126"/>
      <c r="K49" s="127"/>
      <c r="L49" s="125"/>
      <c r="M49" s="126"/>
      <c r="N49" s="127"/>
      <c r="O49" s="125"/>
      <c r="P49" s="126"/>
      <c r="Q49" s="127"/>
      <c r="R49" s="128" t="s">
        <v>30</v>
      </c>
      <c r="S49" s="129"/>
      <c r="T49" s="130"/>
    </row>
    <row r="50" spans="2:20">
      <c r="B50" s="71"/>
      <c r="C50" s="71"/>
    </row>
    <row r="51" spans="2:20">
      <c r="B51" s="71"/>
      <c r="C51" s="71"/>
    </row>
    <row r="52" spans="2:20">
      <c r="B52" s="71"/>
      <c r="C52" s="71"/>
    </row>
  </sheetData>
  <mergeCells count="19">
    <mergeCell ref="I49:K49"/>
    <mergeCell ref="L49:N49"/>
    <mergeCell ref="O49:Q49"/>
    <mergeCell ref="R49:T49"/>
    <mergeCell ref="B11:P11"/>
    <mergeCell ref="B20:P20"/>
    <mergeCell ref="B49:D49"/>
    <mergeCell ref="B12:P12"/>
    <mergeCell ref="B14:P14"/>
    <mergeCell ref="B15:P15"/>
    <mergeCell ref="B16:P16"/>
    <mergeCell ref="B18:P18"/>
    <mergeCell ref="B19:P19"/>
    <mergeCell ref="F49:H49"/>
    <mergeCell ref="B2:C4"/>
    <mergeCell ref="D2:U4"/>
    <mergeCell ref="B7:P7"/>
    <mergeCell ref="B9:P9"/>
    <mergeCell ref="B10:P1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121"/>
  <sheetViews>
    <sheetView zoomScale="55" zoomScaleNormal="55" workbookViewId="0">
      <selection activeCell="E17" sqref="E17"/>
    </sheetView>
  </sheetViews>
  <sheetFormatPr defaultColWidth="9.140625" defaultRowHeight="12.95" zeroHeight="1"/>
  <cols>
    <col min="1" max="1" width="4" style="4" customWidth="1"/>
    <col min="2" max="2" width="7.7109375" style="4" customWidth="1"/>
    <col min="3" max="3" width="51" style="4" customWidth="1"/>
    <col min="4" max="4" width="41.5703125" style="4" customWidth="1"/>
    <col min="5" max="5" width="44.140625" style="4" customWidth="1"/>
    <col min="6" max="6" width="44.7109375" style="4" customWidth="1"/>
    <col min="7" max="7" width="50.42578125" style="4" customWidth="1"/>
    <col min="8" max="8" width="50.85546875" style="4" customWidth="1"/>
    <col min="9" max="9" width="10.140625" style="4" customWidth="1"/>
    <col min="10" max="13" width="9.140625" style="4" hidden="1" customWidth="1"/>
    <col min="14" max="14" width="41" style="4" hidden="1" customWidth="1"/>
    <col min="15" max="255" width="9.140625" style="4" hidden="1" customWidth="1"/>
    <col min="256" max="256" width="4.5703125" style="4" hidden="1" customWidth="1"/>
    <col min="257" max="257" width="16.7109375" style="4" bestFit="1" customWidth="1"/>
    <col min="258" max="16384" width="9.140625" style="4"/>
  </cols>
  <sheetData>
    <row r="1" spans="1:257" ht="13.5" thickBot="1">
      <c r="A1" s="3"/>
      <c r="B1" s="3"/>
      <c r="C1" s="3"/>
      <c r="D1" s="3"/>
      <c r="E1" s="3"/>
      <c r="F1" s="3"/>
      <c r="G1" s="3"/>
      <c r="H1" s="3"/>
      <c r="I1" s="3"/>
      <c r="J1" s="3"/>
    </row>
    <row r="2" spans="1:257" ht="17.25" customHeight="1">
      <c r="A2" s="3"/>
      <c r="B2" s="136"/>
      <c r="C2" s="137"/>
      <c r="D2" s="142" t="s">
        <v>31</v>
      </c>
      <c r="E2" s="143"/>
      <c r="F2" s="143"/>
      <c r="G2" s="143"/>
      <c r="H2" s="144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spans="1:257" ht="17.25" customHeight="1">
      <c r="A3" s="3"/>
      <c r="B3" s="138"/>
      <c r="C3" s="139"/>
      <c r="D3" s="145"/>
      <c r="E3" s="146"/>
      <c r="F3" s="146"/>
      <c r="G3" s="146"/>
      <c r="H3" s="147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</row>
    <row r="4" spans="1:257" ht="17.25" customHeight="1" thickBot="1">
      <c r="A4" s="3"/>
      <c r="B4" s="140"/>
      <c r="C4" s="141"/>
      <c r="D4" s="148"/>
      <c r="E4" s="149"/>
      <c r="F4" s="149"/>
      <c r="G4" s="149"/>
      <c r="H4" s="150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257" ht="14.45" thickBot="1">
      <c r="A5" s="7"/>
      <c r="B5" s="8"/>
      <c r="C5" s="8"/>
      <c r="D5" s="8"/>
      <c r="E5" s="8"/>
      <c r="F5" s="90"/>
      <c r="G5" s="8"/>
      <c r="H5" s="5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</row>
    <row r="6" spans="1:257" ht="15">
      <c r="A6" s="7"/>
      <c r="B6" s="8"/>
      <c r="C6" s="22" t="s">
        <v>32</v>
      </c>
      <c r="D6" s="21" t="s">
        <v>33</v>
      </c>
      <c r="E6" s="8"/>
      <c r="F6" s="89"/>
      <c r="G6" s="8"/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</row>
    <row r="7" spans="1:257" ht="15.6" thickBot="1">
      <c r="A7" s="7"/>
      <c r="B7" s="8"/>
      <c r="C7" s="23" t="s">
        <v>34</v>
      </c>
      <c r="D7" s="24">
        <v>45058</v>
      </c>
      <c r="E7" s="8"/>
      <c r="F7" s="89"/>
      <c r="G7" s="8"/>
      <c r="H7" s="5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</row>
    <row r="8" spans="1:257" ht="14.1">
      <c r="A8" s="7"/>
      <c r="B8" s="8"/>
      <c r="C8" s="8"/>
      <c r="D8" s="8"/>
      <c r="E8" s="8"/>
      <c r="F8" s="89"/>
      <c r="G8" s="8"/>
      <c r="H8" s="5"/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</row>
    <row r="9" spans="1:257" ht="14.1">
      <c r="A9" s="7"/>
      <c r="B9" s="8"/>
      <c r="C9" s="8"/>
      <c r="D9" s="8"/>
      <c r="E9" s="8"/>
      <c r="F9" s="89"/>
      <c r="G9" s="8"/>
      <c r="H9" s="5"/>
      <c r="I9" s="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</row>
    <row r="10" spans="1:257" ht="15">
      <c r="A10" s="7"/>
      <c r="B10" s="8"/>
      <c r="C10" s="8"/>
      <c r="D10" s="8"/>
      <c r="E10" s="8"/>
      <c r="F10" s="89"/>
      <c r="G10" s="8"/>
      <c r="H10" s="5"/>
      <c r="I10" s="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</row>
    <row r="11" spans="1:257" s="11" customFormat="1" ht="48" customHeight="1">
      <c r="A11" s="7"/>
      <c r="B11" s="102" t="s">
        <v>35</v>
      </c>
      <c r="C11" s="102" t="s">
        <v>36</v>
      </c>
      <c r="D11" s="102" t="s">
        <v>37</v>
      </c>
      <c r="E11" s="102" t="s">
        <v>38</v>
      </c>
      <c r="F11" s="102" t="s">
        <v>39</v>
      </c>
      <c r="G11" s="102" t="s">
        <v>40</v>
      </c>
      <c r="H11" s="102" t="s">
        <v>41</v>
      </c>
      <c r="I11" s="9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</row>
    <row r="12" spans="1:257" ht="61.5" customHeight="1">
      <c r="A12" s="3"/>
      <c r="B12" s="101">
        <v>1</v>
      </c>
      <c r="C12" s="103" t="s">
        <v>42</v>
      </c>
      <c r="D12" s="104" t="s">
        <v>43</v>
      </c>
      <c r="E12" s="104" t="s">
        <v>44</v>
      </c>
      <c r="F12" s="104" t="s">
        <v>45</v>
      </c>
      <c r="G12" s="105" t="s">
        <v>46</v>
      </c>
      <c r="H12" s="106"/>
      <c r="I12" s="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IW12" s="95"/>
    </row>
    <row r="13" spans="1:257" ht="61.5" customHeight="1">
      <c r="A13" s="3"/>
      <c r="B13" s="98">
        <v>2</v>
      </c>
      <c r="C13" s="99" t="s">
        <v>47</v>
      </c>
      <c r="D13" s="99" t="s">
        <v>48</v>
      </c>
      <c r="E13" s="99" t="s">
        <v>49</v>
      </c>
      <c r="F13" s="99" t="s">
        <v>50</v>
      </c>
      <c r="G13" s="99" t="s">
        <v>51</v>
      </c>
      <c r="H13" s="100" t="s">
        <v>52</v>
      </c>
      <c r="I13" s="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</row>
    <row r="14" spans="1:257" ht="61.5" customHeight="1">
      <c r="A14" s="3"/>
      <c r="B14" s="38">
        <v>1</v>
      </c>
      <c r="C14" s="39" t="s">
        <v>53</v>
      </c>
      <c r="D14" s="39" t="s">
        <v>54</v>
      </c>
      <c r="E14" s="39" t="s">
        <v>55</v>
      </c>
      <c r="F14" s="39" t="s">
        <v>56</v>
      </c>
      <c r="G14" s="39" t="s">
        <v>57</v>
      </c>
      <c r="H14" s="20" t="s">
        <v>58</v>
      </c>
      <c r="I14" s="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</row>
    <row r="15" spans="1:257" ht="61.5" customHeight="1">
      <c r="A15" s="3"/>
      <c r="B15" s="38"/>
      <c r="C15" s="39"/>
      <c r="D15" s="39"/>
      <c r="E15" s="39"/>
      <c r="F15" s="39"/>
      <c r="G15" s="39"/>
      <c r="H15" s="20"/>
      <c r="I15" s="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</row>
    <row r="16" spans="1:257" ht="61.5" customHeight="1">
      <c r="A16" s="3"/>
      <c r="B16" s="38"/>
      <c r="C16" s="39"/>
      <c r="D16" s="39"/>
      <c r="E16" s="39"/>
      <c r="F16" s="39"/>
      <c r="G16" s="39"/>
      <c r="H16" s="20"/>
      <c r="I16" s="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</row>
    <row r="17" spans="1:50" ht="61.5" customHeight="1">
      <c r="A17" s="3"/>
      <c r="B17" s="38"/>
      <c r="C17" s="39"/>
      <c r="D17" s="39"/>
      <c r="E17" s="39"/>
      <c r="F17" s="39"/>
      <c r="G17" s="39"/>
      <c r="H17" s="20"/>
      <c r="I17" s="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</row>
    <row r="18" spans="1:50" ht="61.5" customHeight="1" thickTop="1" thickBot="1">
      <c r="A18" s="3"/>
      <c r="B18" s="38"/>
      <c r="C18" s="39"/>
      <c r="D18" s="39"/>
      <c r="E18" s="39"/>
      <c r="F18" s="39"/>
      <c r="G18" s="39"/>
      <c r="H18" s="39"/>
      <c r="I18" s="5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</row>
    <row r="19" spans="1:50" ht="61.5" customHeight="1" thickTop="1" thickBot="1">
      <c r="A19" s="3"/>
      <c r="B19" s="38"/>
      <c r="C19" s="39"/>
      <c r="D19" s="39"/>
      <c r="E19" s="39"/>
      <c r="F19" s="39"/>
      <c r="G19" s="20"/>
      <c r="H19" s="20"/>
      <c r="I19" s="5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</row>
    <row r="20" spans="1:50" ht="61.5" customHeight="1" thickTop="1" thickBot="1">
      <c r="A20" s="3"/>
      <c r="B20" s="38"/>
      <c r="C20" s="39"/>
      <c r="D20" s="39"/>
      <c r="E20" s="39"/>
      <c r="F20" s="39"/>
      <c r="G20" s="39"/>
      <c r="H20" s="20"/>
      <c r="I20" s="5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</row>
    <row r="21" spans="1:50" ht="61.5" customHeight="1" thickTop="1" thickBot="1">
      <c r="A21" s="3"/>
      <c r="B21" s="38"/>
      <c r="C21" s="39"/>
      <c r="D21" s="92"/>
      <c r="E21" s="39"/>
      <c r="F21" s="39"/>
      <c r="G21" s="39"/>
      <c r="H21" s="20"/>
      <c r="I21" s="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</row>
    <row r="22" spans="1:50" ht="61.5" customHeight="1" thickTop="1" thickBot="1">
      <c r="A22" s="3"/>
      <c r="B22" s="38"/>
      <c r="C22" s="39"/>
      <c r="D22" s="39"/>
      <c r="E22" s="94"/>
      <c r="F22" s="39"/>
      <c r="G22" s="39"/>
      <c r="H22" s="20"/>
      <c r="I22" s="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</row>
    <row r="23" spans="1:50" ht="61.5" customHeight="1" thickTop="1" thickBot="1">
      <c r="A23" s="3"/>
      <c r="B23" s="38"/>
      <c r="C23" s="39"/>
      <c r="D23" s="39"/>
      <c r="E23" s="39"/>
      <c r="F23" s="39"/>
      <c r="G23" s="39"/>
      <c r="H23" s="20"/>
      <c r="I23" s="5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</row>
    <row r="24" spans="1:50" ht="61.5" customHeight="1" thickTop="1" thickBot="1">
      <c r="A24" s="3"/>
      <c r="B24" s="38"/>
      <c r="C24" s="39"/>
      <c r="D24" s="39"/>
      <c r="E24" s="39"/>
      <c r="F24" s="39"/>
      <c r="G24" s="39"/>
      <c r="H24" s="20"/>
      <c r="I24" s="5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</row>
    <row r="25" spans="1:50" ht="61.5" customHeight="1" thickTop="1" thickBot="1">
      <c r="A25" s="3"/>
      <c r="B25" s="38"/>
      <c r="C25" s="39"/>
      <c r="D25" s="39"/>
      <c r="E25" s="39"/>
      <c r="F25" s="39"/>
      <c r="G25" s="39"/>
      <c r="H25" s="20"/>
      <c r="I25" s="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 spans="1:50" ht="61.5" customHeight="1" thickTop="1" thickBot="1">
      <c r="A26" s="3"/>
      <c r="B26" s="38"/>
      <c r="C26" s="39"/>
      <c r="D26" s="39"/>
      <c r="E26" s="39"/>
      <c r="F26" s="39"/>
      <c r="G26" s="39"/>
      <c r="H26" s="20"/>
      <c r="I26" s="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spans="1:50" ht="61.5" customHeight="1" thickTop="1" thickBot="1">
      <c r="A27" s="3"/>
      <c r="B27" s="38"/>
      <c r="C27" s="39"/>
      <c r="D27" s="39"/>
      <c r="E27" s="39"/>
      <c r="F27" s="39"/>
      <c r="G27" s="39"/>
      <c r="H27" s="20"/>
      <c r="I27" s="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 spans="1:50" ht="61.5" customHeight="1" thickTop="1" thickBot="1">
      <c r="A28" s="3"/>
      <c r="B28" s="38"/>
      <c r="C28" s="39"/>
      <c r="D28" s="39"/>
      <c r="E28" s="39"/>
      <c r="F28" s="39"/>
      <c r="G28" s="39"/>
      <c r="H28" s="20"/>
      <c r="I28" s="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spans="1:50" ht="61.5" customHeight="1" thickTop="1" thickBot="1">
      <c r="A29" s="3"/>
      <c r="B29" s="38"/>
      <c r="C29" s="39"/>
      <c r="D29" s="39"/>
      <c r="E29" s="39"/>
      <c r="F29" s="39"/>
      <c r="G29" s="39"/>
      <c r="H29" s="20"/>
      <c r="I29" s="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 spans="1:50" ht="61.5" customHeight="1" thickTop="1" thickBot="1">
      <c r="A30" s="3"/>
      <c r="B30" s="38"/>
      <c r="C30" s="39"/>
      <c r="D30" s="39"/>
      <c r="E30" s="39"/>
      <c r="F30" s="39"/>
      <c r="G30" s="39"/>
      <c r="H30" s="20"/>
      <c r="I30" s="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 spans="1:50" ht="61.5" customHeight="1" thickTop="1" thickBot="1">
      <c r="A31" s="3"/>
      <c r="B31" s="38"/>
      <c r="C31" s="39"/>
      <c r="D31" s="39"/>
      <c r="E31" s="39"/>
      <c r="F31" s="39"/>
      <c r="G31" s="39"/>
      <c r="H31" s="20"/>
      <c r="I31" s="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 spans="1:50" ht="61.5" customHeight="1" thickTop="1" thickBot="1">
      <c r="A32" s="3"/>
      <c r="B32" s="38"/>
      <c r="C32" s="39"/>
      <c r="D32" s="39"/>
      <c r="E32" s="39"/>
      <c r="F32" s="39"/>
      <c r="G32" s="39"/>
      <c r="H32" s="20"/>
      <c r="I32" s="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 spans="1:50" ht="61.5" customHeight="1" thickTop="1" thickBot="1">
      <c r="A33" s="3"/>
      <c r="B33" s="38"/>
      <c r="C33" s="39"/>
      <c r="D33" s="39"/>
      <c r="E33" s="39"/>
      <c r="F33" s="39"/>
      <c r="G33" s="39"/>
      <c r="H33" s="20"/>
      <c r="I33" s="5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 spans="1:50" ht="61.5" customHeight="1" thickTop="1" thickBot="1">
      <c r="A34" s="3"/>
      <c r="B34" s="38"/>
      <c r="C34" s="39"/>
      <c r="D34" s="39"/>
      <c r="E34" s="39"/>
      <c r="F34" s="39"/>
      <c r="G34" s="39"/>
      <c r="H34" s="20"/>
      <c r="I34" s="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 spans="1:50" ht="61.5" customHeight="1" thickTop="1" thickBot="1">
      <c r="A35" s="3"/>
      <c r="B35" s="38"/>
      <c r="C35" s="39"/>
      <c r="D35" s="39"/>
      <c r="E35" s="39"/>
      <c r="F35" s="39"/>
      <c r="G35" s="39"/>
      <c r="H35" s="20"/>
      <c r="I35" s="5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 spans="1:50" ht="61.5" customHeight="1" thickTop="1" thickBot="1">
      <c r="A36" s="3"/>
      <c r="B36" s="38"/>
      <c r="C36" s="39"/>
      <c r="D36" s="39"/>
      <c r="E36" s="39"/>
      <c r="F36" s="39"/>
      <c r="G36" s="39"/>
      <c r="H36" s="20"/>
      <c r="I36" s="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 spans="1:50" ht="61.5" customHeight="1" thickTop="1" thickBot="1">
      <c r="A37" s="3"/>
      <c r="B37" s="38"/>
      <c r="C37" s="39"/>
      <c r="D37" s="39"/>
      <c r="E37" s="39"/>
      <c r="F37" s="39"/>
      <c r="G37" s="39"/>
      <c r="H37" s="20"/>
      <c r="I37" s="5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 spans="1:50" ht="61.5" customHeight="1" thickTop="1" thickBot="1">
      <c r="A38" s="3"/>
      <c r="B38" s="38"/>
      <c r="C38" s="39"/>
      <c r="D38" s="39"/>
      <c r="E38" s="39"/>
      <c r="F38" s="39"/>
      <c r="G38" s="39"/>
      <c r="H38" s="20"/>
      <c r="I38" s="5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spans="1:50" ht="61.5" customHeight="1" thickTop="1" thickBot="1">
      <c r="A39" s="3"/>
      <c r="B39" s="38"/>
      <c r="C39" s="39"/>
      <c r="D39" s="39"/>
      <c r="E39" s="39"/>
      <c r="F39" s="39"/>
      <c r="G39" s="39"/>
      <c r="H39" s="20"/>
      <c r="I39" s="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spans="1:50" ht="61.5" customHeight="1" thickTop="1" thickBot="1">
      <c r="A40" s="3"/>
      <c r="B40" s="38"/>
      <c r="C40" s="39"/>
      <c r="D40" s="39"/>
      <c r="E40" s="39"/>
      <c r="F40" s="39"/>
      <c r="G40" s="39"/>
      <c r="H40" s="20"/>
      <c r="I40" s="5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spans="1:50" ht="61.5" customHeight="1" thickTop="1" thickBot="1">
      <c r="A41" s="3"/>
      <c r="B41" s="38"/>
      <c r="C41" s="39"/>
      <c r="D41" s="39"/>
      <c r="E41" s="39"/>
      <c r="F41" s="39"/>
      <c r="G41" s="39"/>
      <c r="H41" s="39"/>
      <c r="I41" s="5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spans="1:50" ht="61.5" customHeight="1" thickTop="1" thickBot="1">
      <c r="A42" s="3"/>
      <c r="B42" s="38"/>
      <c r="C42" s="39"/>
      <c r="D42" s="39"/>
      <c r="E42" s="39"/>
      <c r="F42" s="39"/>
      <c r="G42" s="39"/>
      <c r="H42" s="20"/>
      <c r="I42" s="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spans="1:50" ht="61.5" customHeight="1" thickTop="1" thickBot="1">
      <c r="A43" s="3"/>
      <c r="B43" s="38"/>
      <c r="C43" s="39"/>
      <c r="D43" s="39"/>
      <c r="E43" s="39"/>
      <c r="F43" s="39"/>
      <c r="G43" s="39"/>
      <c r="H43" s="20"/>
      <c r="I43" s="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spans="1:50" ht="61.5" customHeight="1" thickTop="1" thickBot="1">
      <c r="A44" s="3"/>
      <c r="B44" s="38"/>
      <c r="C44" s="39"/>
      <c r="D44" s="39"/>
      <c r="E44" s="39"/>
      <c r="F44" s="39"/>
      <c r="G44" s="39"/>
      <c r="H44" s="20"/>
      <c r="I44" s="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 spans="1:50" ht="61.5" customHeight="1" thickTop="1" thickBot="1">
      <c r="A45" s="3"/>
      <c r="B45" s="38"/>
      <c r="C45" s="39"/>
      <c r="D45" s="39"/>
      <c r="E45" s="39"/>
      <c r="F45" s="39"/>
      <c r="G45" s="39"/>
      <c r="H45" s="20"/>
      <c r="I45" s="5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 spans="1:50" ht="61.5" customHeight="1" thickTop="1" thickBot="1">
      <c r="A46" s="3"/>
      <c r="B46" s="38"/>
      <c r="C46" s="39"/>
      <c r="D46" s="39"/>
      <c r="E46" s="39"/>
      <c r="F46" s="39"/>
      <c r="G46" s="39"/>
      <c r="H46" s="20"/>
      <c r="I46" s="5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spans="1:50" ht="61.5" customHeight="1" thickTop="1" thickBot="1">
      <c r="A47" s="3"/>
      <c r="B47" s="38"/>
      <c r="C47" s="39"/>
      <c r="D47" s="39"/>
      <c r="E47" s="39"/>
      <c r="F47" s="39"/>
      <c r="G47" s="39"/>
      <c r="H47" s="20"/>
      <c r="I47" s="5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spans="1:50" ht="61.5" customHeight="1" thickTop="1" thickBot="1">
      <c r="A48" s="3"/>
      <c r="B48" s="38"/>
      <c r="C48" s="39"/>
      <c r="D48" s="39"/>
      <c r="E48" s="39"/>
      <c r="F48" s="39"/>
      <c r="G48" s="39"/>
      <c r="H48" s="20"/>
      <c r="I48" s="5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spans="1:50" ht="14.45" thickTop="1">
      <c r="A49" s="3"/>
      <c r="B49" s="5"/>
      <c r="C49" s="5"/>
      <c r="D49" s="5"/>
      <c r="E49" s="5"/>
      <c r="F49" s="5"/>
      <c r="G49" s="5"/>
      <c r="H49" s="5"/>
      <c r="I49" s="5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 spans="1:50" ht="14.1">
      <c r="A50" s="3"/>
      <c r="B50" s="5"/>
      <c r="C50" s="5"/>
      <c r="D50" s="5"/>
      <c r="E50" s="5"/>
      <c r="F50" s="5"/>
      <c r="G50" s="5"/>
      <c r="H50" s="5"/>
      <c r="I50" s="5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spans="1:50" ht="14.1">
      <c r="A51" s="3"/>
      <c r="B51" s="13"/>
      <c r="C51" s="13"/>
      <c r="D51" s="5"/>
      <c r="E51" s="5"/>
      <c r="F51" s="5"/>
      <c r="G51" s="5"/>
      <c r="H51" s="5"/>
      <c r="I51" s="5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 spans="1:50" ht="14.1">
      <c r="A52" s="3"/>
      <c r="B52" s="13"/>
      <c r="C52" s="13"/>
      <c r="D52" s="5"/>
      <c r="E52" s="5"/>
      <c r="F52" s="5"/>
      <c r="G52" s="5"/>
      <c r="H52" s="5"/>
      <c r="I52" s="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ht="14.1">
      <c r="A53" s="3"/>
      <c r="B53" s="13"/>
      <c r="C53" s="13"/>
      <c r="D53" s="5"/>
      <c r="E53" s="5"/>
      <c r="F53" s="5"/>
      <c r="G53" s="5"/>
      <c r="H53" s="5"/>
      <c r="I53" s="5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ht="14.1">
      <c r="A54" s="3"/>
      <c r="B54" s="13"/>
      <c r="C54" s="13"/>
      <c r="D54" s="14"/>
      <c r="E54" s="14"/>
      <c r="F54" s="14"/>
      <c r="G54" s="14"/>
      <c r="H54" s="5"/>
      <c r="I54" s="5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 ht="15" customHeight="1">
      <c r="A55" s="3"/>
      <c r="B55" s="15"/>
      <c r="C55" s="15"/>
      <c r="D55" s="15"/>
      <c r="E55" s="15"/>
      <c r="F55" s="15"/>
      <c r="G55" s="15"/>
      <c r="H55" s="15"/>
      <c r="I55" s="5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spans="1:50" ht="14.1">
      <c r="A56" s="16"/>
      <c r="B56" s="5"/>
      <c r="C56" s="5"/>
      <c r="D56" s="5"/>
      <c r="E56" s="5"/>
      <c r="F56" s="5"/>
      <c r="G56" s="5"/>
      <c r="H56" s="5"/>
      <c r="I56" s="5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spans="1:50" s="18" customFormat="1" ht="15.6">
      <c r="A57" s="17"/>
      <c r="B57" s="151" t="s">
        <v>59</v>
      </c>
      <c r="C57" s="151"/>
      <c r="D57" s="152" t="s">
        <v>60</v>
      </c>
      <c r="E57" s="152"/>
      <c r="F57" s="152"/>
      <c r="G57" s="152"/>
      <c r="H57" s="26" t="s">
        <v>61</v>
      </c>
      <c r="I57" s="25"/>
    </row>
    <row r="58" spans="1:50" ht="14.1">
      <c r="A58" s="16"/>
      <c r="B58" s="19"/>
      <c r="C58" s="19"/>
      <c r="D58" s="19"/>
      <c r="E58" s="19"/>
      <c r="F58" s="19"/>
      <c r="G58" s="19"/>
      <c r="H58" s="5"/>
      <c r="I58" s="5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spans="1:50" ht="14.1">
      <c r="A59" s="16"/>
      <c r="B59" s="13"/>
      <c r="C59" s="13"/>
      <c r="D59" s="5"/>
      <c r="E59" s="5"/>
      <c r="F59" s="5"/>
      <c r="G59" s="5"/>
      <c r="H59" s="5"/>
      <c r="I59" s="5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spans="1:50" ht="14.1" hidden="1">
      <c r="A60" s="16"/>
      <c r="B60" s="5"/>
      <c r="C60" s="5"/>
      <c r="D60" s="5"/>
      <c r="E60" s="5"/>
      <c r="F60" s="5"/>
      <c r="G60" s="5"/>
      <c r="H60" s="5"/>
      <c r="I60" s="5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spans="1:50" ht="14.1" hidden="1">
      <c r="A61" s="16"/>
      <c r="B61" s="13"/>
      <c r="C61" s="13"/>
      <c r="D61" s="5"/>
      <c r="E61" s="5"/>
      <c r="F61" s="5"/>
      <c r="G61" s="5"/>
      <c r="H61" s="5"/>
      <c r="I61" s="5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spans="1:50" ht="14.1" hidden="1">
      <c r="A62" s="16"/>
      <c r="B62" s="5"/>
      <c r="C62" s="5"/>
      <c r="D62" s="5"/>
      <c r="E62" s="5"/>
      <c r="F62" s="5"/>
      <c r="G62" s="5"/>
      <c r="H62" s="5"/>
      <c r="I62" s="5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spans="1:50" ht="14.1" hidden="1">
      <c r="A63" s="16"/>
      <c r="B63" s="13"/>
      <c r="C63" s="13"/>
      <c r="D63" s="5"/>
      <c r="E63" s="5"/>
      <c r="F63" s="5"/>
      <c r="G63" s="5"/>
      <c r="H63" s="5"/>
      <c r="I63" s="5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spans="1:50" ht="14.1" hidden="1">
      <c r="A64" s="16"/>
      <c r="B64" s="5"/>
      <c r="C64" s="5"/>
      <c r="D64" s="5"/>
      <c r="E64" s="5"/>
      <c r="F64" s="5"/>
      <c r="G64" s="5"/>
      <c r="H64" s="5"/>
      <c r="I64" s="5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spans="1:50" ht="14.1" hidden="1">
      <c r="A65" s="16"/>
      <c r="B65" s="13"/>
      <c r="C65" s="13"/>
      <c r="D65" s="5"/>
      <c r="E65" s="5"/>
      <c r="F65" s="5"/>
      <c r="G65" s="5"/>
      <c r="H65" s="5"/>
      <c r="I65" s="5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 spans="1:50" ht="14.1" hidden="1">
      <c r="A66" s="3"/>
      <c r="B66" s="5"/>
      <c r="C66" s="5"/>
      <c r="D66" s="5"/>
      <c r="E66" s="5"/>
      <c r="F66" s="5"/>
      <c r="G66" s="5"/>
      <c r="H66" s="5"/>
      <c r="I66" s="5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spans="1:50" ht="14.1" hidden="1">
      <c r="A67" s="3"/>
      <c r="B67" s="5"/>
      <c r="C67" s="5"/>
      <c r="D67" s="5" t="s">
        <v>62</v>
      </c>
      <c r="E67" s="5"/>
      <c r="F67" s="5"/>
      <c r="G67" s="5"/>
      <c r="H67" s="5"/>
      <c r="I67" s="5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spans="1:50" ht="14.1" hidden="1">
      <c r="A68" s="3"/>
      <c r="B68" s="5"/>
      <c r="C68" s="5"/>
      <c r="D68" s="5"/>
      <c r="E68" s="5"/>
      <c r="F68" s="5"/>
      <c r="G68" s="5"/>
      <c r="H68" s="5"/>
      <c r="I68" s="5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spans="1:50" ht="14.1" hidden="1">
      <c r="A69" s="3"/>
      <c r="B69" s="5"/>
      <c r="C69" s="5"/>
      <c r="D69" s="5"/>
      <c r="E69" s="5"/>
      <c r="F69" s="5"/>
      <c r="G69" s="5"/>
      <c r="H69" s="5"/>
      <c r="I69" s="5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spans="1:50" ht="14.1" hidden="1">
      <c r="A70" s="3"/>
      <c r="B70" s="5"/>
      <c r="C70" s="5"/>
      <c r="D70" s="5"/>
      <c r="E70" s="5"/>
      <c r="F70" s="5"/>
      <c r="G70" s="5"/>
      <c r="H70" s="5"/>
      <c r="I70" s="5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spans="1:50" ht="14.1" hidden="1">
      <c r="A71" s="3"/>
      <c r="B71" s="5"/>
      <c r="C71" s="5"/>
      <c r="D71" s="5"/>
      <c r="E71" s="5"/>
      <c r="F71" s="5"/>
      <c r="G71" s="5"/>
      <c r="H71" s="5"/>
      <c r="I71" s="5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spans="1:50" ht="14.1" hidden="1">
      <c r="A72" s="3"/>
      <c r="B72" s="5"/>
      <c r="C72" s="5"/>
      <c r="D72" s="5"/>
      <c r="E72" s="5"/>
      <c r="F72" s="5"/>
      <c r="G72" s="5"/>
      <c r="H72" s="5"/>
      <c r="I72" s="5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spans="1:50" ht="14.1" hidden="1">
      <c r="A73" s="3"/>
      <c r="B73" s="5"/>
      <c r="C73" s="5"/>
      <c r="D73" s="5"/>
      <c r="E73" s="5"/>
      <c r="F73" s="5"/>
      <c r="G73" s="5"/>
      <c r="H73" s="5"/>
      <c r="I73" s="5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spans="1:50" ht="14.1" hidden="1">
      <c r="A74" s="3"/>
      <c r="B74" s="5"/>
      <c r="C74" s="5"/>
      <c r="D74" s="5"/>
      <c r="E74" s="5"/>
      <c r="F74" s="5"/>
      <c r="G74" s="5"/>
      <c r="H74" s="5"/>
      <c r="I74" s="5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spans="1:50" ht="14.1" hidden="1">
      <c r="A75" s="3"/>
      <c r="B75" s="5"/>
      <c r="C75" s="5"/>
      <c r="D75" s="5"/>
      <c r="E75" s="5"/>
      <c r="F75" s="5"/>
      <c r="G75" s="5"/>
      <c r="H75" s="5"/>
      <c r="I75" s="5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spans="1:50" ht="14.1" hidden="1">
      <c r="A76" s="3"/>
      <c r="B76" s="5"/>
      <c r="C76" s="5"/>
      <c r="D76" s="5"/>
      <c r="E76" s="5"/>
      <c r="F76" s="5"/>
      <c r="G76" s="5"/>
      <c r="H76" s="5"/>
      <c r="I76" s="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spans="1:50" ht="14.1" hidden="1">
      <c r="A77" s="3"/>
      <c r="B77" s="5"/>
      <c r="C77" s="5"/>
      <c r="D77" s="5"/>
      <c r="E77" s="5"/>
      <c r="F77" s="5"/>
      <c r="G77" s="5"/>
      <c r="H77" s="5"/>
      <c r="I77" s="5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spans="1:50" ht="14.1" hidden="1">
      <c r="A78" s="3"/>
      <c r="B78" s="5"/>
      <c r="C78" s="5"/>
      <c r="D78" s="5"/>
      <c r="E78" s="5"/>
      <c r="F78" s="5"/>
      <c r="G78" s="5"/>
      <c r="H78" s="5"/>
      <c r="I78" s="5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spans="1:50" ht="14.1" hidden="1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spans="1:50" ht="14.1" hidden="1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spans="2:50" ht="14.1" hidden="1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spans="2:50" ht="14.1" hidden="1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spans="2:50" ht="14.1" hidden="1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spans="2:50" ht="14.1" hidden="1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spans="2:50" ht="14.1" hidden="1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spans="2:50" ht="14.1" hidden="1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spans="2:50" ht="14.1" hidden="1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spans="2:50" ht="14.1" hidden="1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spans="2:50" ht="14.1" hidden="1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spans="2:50" ht="14.1" hidden="1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spans="2:50" ht="14.1" hidden="1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spans="2:50" ht="14.1" hidden="1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spans="2:50" ht="14.1" hidden="1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spans="2:50" ht="14.1" hidden="1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spans="2:50" ht="14.1" hidden="1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spans="2:50" ht="14.1" hidden="1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spans="2:50" ht="14.1" hidden="1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spans="2:50" ht="14.1" hidden="1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spans="2:50" ht="14.1" hidden="1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spans="2:50" ht="14.1" hidden="1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spans="2:50" ht="14.1" hidden="1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spans="2:50" ht="14.1" hidden="1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spans="2:50" ht="14.1" hidden="1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spans="2:50" ht="14.1" hidden="1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spans="2:50" ht="14.1" hidden="1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spans="2:50" ht="14.1" hidden="1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spans="2:50" ht="14.1" hidden="1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spans="2:50" ht="14.1" hidden="1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spans="2:50" ht="14.1" hidden="1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spans="2:50" ht="14.1" hidden="1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spans="2:50" ht="14.1" hidden="1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spans="2:50" ht="14.1" hidden="1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spans="2:50" ht="14.1" hidden="1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spans="2:50" ht="14.1" hidden="1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spans="2:50" ht="14.1" hidden="1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spans="2:50"/>
    <row r="117" spans="2:50"/>
    <row r="118" spans="2:50"/>
    <row r="119" spans="2:50"/>
    <row r="120" spans="2:50"/>
    <row r="121" spans="2:50"/>
  </sheetData>
  <sheetProtection insertRows="0"/>
  <dataConsolidate/>
  <mergeCells count="4">
    <mergeCell ref="B2:C4"/>
    <mergeCell ref="D2:H4"/>
    <mergeCell ref="B57:C57"/>
    <mergeCell ref="D57:G57"/>
  </mergeCells>
  <phoneticPr fontId="40" type="noConversion"/>
  <hyperlinks>
    <hyperlink ref="B12" location="shared" display="shared" xr:uid="{B295113F-0555-4A93-829A-8B52F2A83800}"/>
  </hyperlinks>
  <pageMargins left="0" right="0.25" top="0.25" bottom="0.25" header="0.25" footer="0"/>
  <pageSetup scale="4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228"/>
  <sheetViews>
    <sheetView zoomScale="90" zoomScaleNormal="90" workbookViewId="0"/>
  </sheetViews>
  <sheetFormatPr defaultColWidth="0" defaultRowHeight="0" customHeight="1" zeroHeight="1"/>
  <cols>
    <col min="1" max="1" width="3.85546875" style="1" customWidth="1"/>
    <col min="2" max="2" width="20.7109375" style="2" customWidth="1"/>
    <col min="3" max="3" width="42.5703125" style="2" customWidth="1"/>
    <col min="4" max="4" width="13.140625" style="1" customWidth="1"/>
    <col min="5" max="5" width="15.85546875" style="1" customWidth="1"/>
    <col min="6" max="7" width="11.5703125" style="1" customWidth="1"/>
    <col min="8" max="31" width="9.140625" style="2" customWidth="1"/>
    <col min="32" max="42" width="0" style="2" hidden="1" customWidth="1"/>
    <col min="43" max="16384" width="9.140625" style="2" hidden="1"/>
  </cols>
  <sheetData>
    <row r="1" spans="2:42" s="1" customFormat="1" ht="13.5" thickBot="1"/>
    <row r="2" spans="2:42" ht="14.45" thickBot="1">
      <c r="B2" s="51" t="s">
        <v>63</v>
      </c>
      <c r="C2" s="51" t="s">
        <v>64</v>
      </c>
      <c r="D2" s="52"/>
      <c r="E2" s="53"/>
      <c r="F2" s="54"/>
      <c r="G2" s="54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6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2:42" ht="14.45" thickTop="1">
      <c r="B3" s="153" t="s">
        <v>65</v>
      </c>
      <c r="C3" s="48"/>
      <c r="E3" s="2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28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2:42" ht="14.1">
      <c r="B4" s="154"/>
      <c r="C4" s="49"/>
      <c r="D4" s="30"/>
      <c r="E4" s="29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28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2:42" ht="14.45" thickBot="1">
      <c r="B5" s="155"/>
      <c r="C5" s="50"/>
      <c r="D5" s="30"/>
      <c r="E5" s="29"/>
      <c r="F5" s="30"/>
      <c r="G5" s="3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28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2:42" ht="14.45" thickTop="1">
      <c r="B6" s="153" t="s">
        <v>66</v>
      </c>
      <c r="C6" s="48"/>
      <c r="D6" s="30"/>
      <c r="E6" s="29"/>
      <c r="F6" s="30"/>
      <c r="G6" s="3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28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2:42" ht="14.1">
      <c r="B7" s="154"/>
      <c r="C7" s="49"/>
      <c r="D7" s="30"/>
      <c r="E7" s="29"/>
      <c r="F7" s="30"/>
      <c r="G7" s="3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47"/>
      <c r="U7" s="1"/>
      <c r="V7" s="1"/>
      <c r="W7" s="1"/>
      <c r="X7" s="1"/>
      <c r="Y7" s="1"/>
      <c r="Z7" s="1"/>
      <c r="AA7" s="1"/>
      <c r="AB7" s="1"/>
      <c r="AC7" s="1"/>
      <c r="AD7" s="28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2:42" ht="14.45" thickBot="1">
      <c r="B8" s="155"/>
      <c r="C8" s="50"/>
      <c r="D8" s="30"/>
      <c r="E8" s="29"/>
      <c r="F8" s="175">
        <f>C15</f>
        <v>0</v>
      </c>
      <c r="G8" s="176"/>
      <c r="H8" s="1"/>
      <c r="I8" s="1"/>
      <c r="J8" s="1"/>
      <c r="K8" s="1"/>
      <c r="L8" s="173">
        <f>C9</f>
        <v>0</v>
      </c>
      <c r="M8" s="174"/>
      <c r="N8" s="1"/>
      <c r="O8" s="1"/>
      <c r="P8" s="1"/>
      <c r="Q8" s="1"/>
      <c r="R8" s="173">
        <f>C3</f>
        <v>0</v>
      </c>
      <c r="S8" s="174"/>
      <c r="T8" s="47"/>
      <c r="U8" s="1"/>
      <c r="V8" s="1"/>
      <c r="W8" s="1"/>
      <c r="X8" s="1"/>
      <c r="Y8" s="1"/>
      <c r="Z8" s="1"/>
      <c r="AA8" s="1"/>
      <c r="AB8" s="1"/>
      <c r="AC8" s="1"/>
      <c r="AD8" s="28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2:42" ht="14.45" thickTop="1">
      <c r="B9" s="153" t="s">
        <v>67</v>
      </c>
      <c r="C9" s="48"/>
      <c r="D9" s="30"/>
      <c r="E9" s="29"/>
      <c r="F9" s="30"/>
      <c r="G9" s="30"/>
      <c r="H9" s="1"/>
      <c r="I9" s="1"/>
      <c r="J9" s="1"/>
      <c r="K9" s="1"/>
      <c r="L9" s="1"/>
      <c r="M9" s="1"/>
      <c r="N9" s="1"/>
      <c r="O9" s="1"/>
      <c r="P9" s="1"/>
      <c r="Q9" s="1"/>
      <c r="R9" s="47"/>
      <c r="S9" s="47"/>
      <c r="T9" s="47"/>
      <c r="U9" s="1"/>
      <c r="V9" s="1"/>
      <c r="W9" s="1"/>
      <c r="Y9" s="1"/>
      <c r="Z9" s="1"/>
      <c r="AA9" s="1"/>
      <c r="AB9" s="1"/>
      <c r="AC9" s="1"/>
      <c r="AD9" s="28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2:42" ht="14.1">
      <c r="B10" s="154"/>
      <c r="C10" s="49"/>
      <c r="D10" s="30"/>
      <c r="E10" s="29"/>
      <c r="F10" s="30"/>
      <c r="G10" s="30"/>
      <c r="H10" s="1"/>
      <c r="I10" s="1"/>
      <c r="J10" s="1"/>
      <c r="K10" s="1"/>
      <c r="L10" s="1"/>
      <c r="M10" s="1"/>
      <c r="N10" s="1"/>
      <c r="O10" s="1"/>
      <c r="P10" s="1"/>
      <c r="Q10" s="1"/>
      <c r="R10" s="47"/>
      <c r="S10" s="47"/>
      <c r="T10" s="47"/>
      <c r="U10" s="1"/>
      <c r="V10" s="1"/>
      <c r="W10" s="1"/>
      <c r="X10" s="1"/>
      <c r="Y10" s="1"/>
      <c r="Z10" s="1"/>
      <c r="AA10" s="1"/>
      <c r="AB10" s="1"/>
      <c r="AC10" s="1"/>
      <c r="AD10" s="28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2:42" ht="14.45" thickBot="1">
      <c r="B11" s="155"/>
      <c r="C11" s="50"/>
      <c r="D11" s="30"/>
      <c r="E11" s="29"/>
      <c r="F11" s="30"/>
      <c r="G11" s="30"/>
      <c r="H11" s="1"/>
      <c r="I11" s="1"/>
      <c r="J11" s="1"/>
      <c r="K11" s="1"/>
      <c r="L11" s="1"/>
      <c r="M11" s="1"/>
      <c r="N11" s="1"/>
      <c r="O11" s="1"/>
      <c r="P11" s="1"/>
      <c r="Q11" s="1"/>
      <c r="R11" s="47"/>
      <c r="S11" s="47"/>
      <c r="T11" s="47"/>
      <c r="U11" s="1"/>
      <c r="V11" s="1"/>
      <c r="W11" s="1"/>
      <c r="X11" s="1"/>
      <c r="Y11" s="1"/>
      <c r="Z11" s="1"/>
      <c r="AA11" s="1"/>
      <c r="AB11" s="1"/>
      <c r="AC11" s="1"/>
      <c r="AD11" s="28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2:42" ht="14.45" thickTop="1">
      <c r="B12" s="153" t="s">
        <v>68</v>
      </c>
      <c r="C12" s="48"/>
      <c r="D12" s="30"/>
      <c r="E12" s="29"/>
      <c r="F12" s="30"/>
      <c r="G12" s="30"/>
      <c r="H12" s="1"/>
      <c r="I12" s="1"/>
      <c r="J12" s="1"/>
      <c r="K12" s="1"/>
      <c r="L12" s="1"/>
      <c r="M12" s="1"/>
      <c r="N12" s="1"/>
      <c r="O12" s="1"/>
      <c r="P12" s="1"/>
      <c r="Q12" s="1"/>
      <c r="R12" s="47"/>
      <c r="S12" s="47"/>
      <c r="T12" s="47"/>
      <c r="U12" s="1"/>
      <c r="V12" s="1"/>
      <c r="W12" s="1"/>
      <c r="Y12" s="1"/>
      <c r="Z12" s="1"/>
      <c r="AA12" s="1"/>
      <c r="AB12" s="1"/>
      <c r="AC12" s="1"/>
      <c r="AD12" s="28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2:42" ht="14.1">
      <c r="B13" s="154"/>
      <c r="C13" s="49"/>
      <c r="E13" s="27"/>
      <c r="F13" s="175">
        <f>C16</f>
        <v>0</v>
      </c>
      <c r="G13" s="176"/>
      <c r="H13" s="1"/>
      <c r="I13" s="1"/>
      <c r="J13" s="1"/>
      <c r="K13" s="1"/>
      <c r="L13" s="173">
        <f>C10</f>
        <v>0</v>
      </c>
      <c r="M13" s="174"/>
      <c r="N13" s="1"/>
      <c r="O13" s="1"/>
      <c r="P13" s="1"/>
      <c r="Q13" s="1"/>
      <c r="R13" s="173">
        <f>C4</f>
        <v>0</v>
      </c>
      <c r="S13" s="174"/>
      <c r="T13" s="47"/>
      <c r="U13" s="1"/>
      <c r="V13" s="1"/>
      <c r="W13" s="1"/>
      <c r="X13" s="1"/>
      <c r="Y13" s="1"/>
      <c r="Z13" s="1"/>
      <c r="AA13" s="1"/>
      <c r="AB13" s="1"/>
      <c r="AC13" s="1"/>
      <c r="AD13" s="28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2:42" ht="14.45" thickBot="1">
      <c r="B14" s="155"/>
      <c r="C14" s="50"/>
      <c r="D14" s="30"/>
      <c r="E14" s="29"/>
      <c r="F14" s="30"/>
      <c r="G14" s="30"/>
      <c r="H14" s="1"/>
      <c r="I14" s="1"/>
      <c r="J14" s="1"/>
      <c r="K14" s="1"/>
      <c r="L14" s="1"/>
      <c r="M14" s="1"/>
      <c r="N14" s="1"/>
      <c r="O14" s="1"/>
      <c r="P14" s="1"/>
      <c r="Q14" s="1"/>
      <c r="R14" s="47"/>
      <c r="S14" s="47"/>
      <c r="T14" s="47"/>
      <c r="U14" s="1"/>
      <c r="V14" s="1"/>
      <c r="W14" s="1"/>
      <c r="X14" s="1"/>
      <c r="Y14" s="1"/>
      <c r="Z14" s="1"/>
      <c r="AA14" s="1"/>
      <c r="AB14" s="1"/>
      <c r="AC14" s="1"/>
      <c r="AD14" s="28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2:42" ht="14.45" thickTop="1">
      <c r="B15" s="153" t="s">
        <v>69</v>
      </c>
      <c r="C15" s="48"/>
      <c r="D15" s="30"/>
      <c r="E15" s="29"/>
      <c r="F15" s="30"/>
      <c r="G15" s="30"/>
      <c r="H15" s="1"/>
      <c r="I15" s="1"/>
      <c r="J15" s="1"/>
      <c r="K15" s="1"/>
      <c r="L15" s="1"/>
      <c r="M15" s="1"/>
      <c r="N15" s="1"/>
      <c r="O15" s="1"/>
      <c r="P15" s="1"/>
      <c r="Q15" s="1"/>
      <c r="R15" s="47"/>
      <c r="S15" s="47"/>
      <c r="T15" s="47"/>
      <c r="U15" s="1"/>
      <c r="V15" s="1"/>
      <c r="W15" s="1"/>
      <c r="X15" s="1"/>
      <c r="Y15" s="1"/>
      <c r="Z15" s="1"/>
      <c r="AA15" s="1"/>
      <c r="AB15" s="1"/>
      <c r="AC15" s="1"/>
      <c r="AD15" s="28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2:42" ht="14.1">
      <c r="B16" s="154"/>
      <c r="C16" s="49"/>
      <c r="D16" s="30"/>
      <c r="E16" s="29"/>
      <c r="F16" s="30"/>
      <c r="G16" s="30"/>
      <c r="H16" s="1"/>
      <c r="I16" s="1"/>
      <c r="J16" s="1"/>
      <c r="K16" s="1"/>
      <c r="L16" s="1"/>
      <c r="M16" s="1"/>
      <c r="N16" s="1"/>
      <c r="O16" s="1"/>
      <c r="P16" s="1"/>
      <c r="Q16" s="1"/>
      <c r="R16" s="47"/>
      <c r="S16" s="47"/>
      <c r="T16" s="47"/>
      <c r="U16" s="1"/>
      <c r="V16" s="1"/>
      <c r="W16" s="1"/>
      <c r="X16" s="1"/>
      <c r="Y16" s="1"/>
      <c r="Z16" s="1"/>
      <c r="AA16" s="1"/>
      <c r="AB16" s="1"/>
      <c r="AC16" s="1"/>
      <c r="AD16" s="28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2:42" ht="14.45" thickBot="1">
      <c r="B17" s="155"/>
      <c r="C17" s="50"/>
      <c r="D17" s="30"/>
      <c r="E17" s="29"/>
      <c r="F17" s="30"/>
      <c r="G17" s="30"/>
      <c r="H17" s="1"/>
      <c r="I17" s="1"/>
      <c r="J17" s="1"/>
      <c r="K17" s="1"/>
      <c r="L17" s="1"/>
      <c r="M17" s="1"/>
      <c r="N17" s="1"/>
      <c r="O17" s="1"/>
      <c r="P17" s="1"/>
      <c r="Q17" s="1"/>
      <c r="R17" s="47"/>
      <c r="S17" s="47"/>
      <c r="T17" s="47"/>
      <c r="U17" s="1"/>
      <c r="V17" s="1"/>
      <c r="W17" s="1"/>
      <c r="X17" s="1"/>
      <c r="Y17" s="1"/>
      <c r="Z17" s="1"/>
      <c r="AA17" s="1"/>
      <c r="AB17" s="1"/>
      <c r="AC17" s="1"/>
      <c r="AD17" s="28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2:42" ht="14.45" thickTop="1">
      <c r="B18" s="156" t="s">
        <v>70</v>
      </c>
      <c r="C18" s="48"/>
      <c r="D18" s="30"/>
      <c r="E18" s="29"/>
      <c r="F18" s="175">
        <f>C17</f>
        <v>0</v>
      </c>
      <c r="G18" s="176"/>
      <c r="H18" s="1"/>
      <c r="I18" s="1"/>
      <c r="J18" s="1"/>
      <c r="K18" s="1"/>
      <c r="L18" s="173">
        <f>C11</f>
        <v>0</v>
      </c>
      <c r="M18" s="174"/>
      <c r="N18" s="1"/>
      <c r="O18" s="1"/>
      <c r="P18" s="1"/>
      <c r="Q18" s="1"/>
      <c r="R18" s="173">
        <f>C5</f>
        <v>0</v>
      </c>
      <c r="S18" s="174"/>
      <c r="T18" s="57"/>
      <c r="U18" s="1"/>
      <c r="V18" s="1"/>
      <c r="W18" s="1"/>
      <c r="X18" s="1"/>
      <c r="Y18" s="1"/>
      <c r="Z18" s="168" t="s">
        <v>71</v>
      </c>
      <c r="AA18" s="169"/>
      <c r="AB18" s="169"/>
      <c r="AC18" s="1"/>
      <c r="AD18" s="28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2:42" ht="14.45" thickBot="1">
      <c r="B19" s="157"/>
      <c r="C19" s="49"/>
      <c r="D19" s="30"/>
      <c r="E19" s="29"/>
      <c r="F19" s="30"/>
      <c r="G19" s="3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28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2:42" ht="15" thickTop="1" thickBot="1">
      <c r="B20" s="158"/>
      <c r="C20" s="50"/>
      <c r="D20" s="30"/>
      <c r="E20" s="29"/>
      <c r="F20" s="30"/>
      <c r="G20" s="3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59"/>
      <c r="Z20" s="160"/>
      <c r="AA20" s="160"/>
      <c r="AB20" s="160"/>
      <c r="AC20" s="161"/>
      <c r="AD20" s="28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2:42" ht="13.5" thickTop="1">
      <c r="B21" s="30"/>
      <c r="C21" s="30"/>
      <c r="D21" s="30"/>
      <c r="E21" s="29"/>
      <c r="F21" s="30"/>
      <c r="G21" s="3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62"/>
      <c r="Z21" s="163"/>
      <c r="AA21" s="163"/>
      <c r="AB21" s="163"/>
      <c r="AC21" s="164"/>
      <c r="AD21" s="28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2:42" ht="12.95">
      <c r="B22" s="30"/>
      <c r="C22" s="30"/>
      <c r="D22" s="30"/>
      <c r="E22" s="29"/>
      <c r="F22" s="30"/>
      <c r="G22" s="3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62"/>
      <c r="Z22" s="163"/>
      <c r="AA22" s="163"/>
      <c r="AB22" s="163"/>
      <c r="AC22" s="164"/>
      <c r="AD22" s="28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2:42" ht="12.95">
      <c r="B23" s="30"/>
      <c r="C23" s="30"/>
      <c r="E23" s="2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62"/>
      <c r="Z23" s="163"/>
      <c r="AA23" s="163"/>
      <c r="AB23" s="163"/>
      <c r="AC23" s="164"/>
      <c r="AD23" s="28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2:42" ht="12.95">
      <c r="B24" s="30"/>
      <c r="C24" s="30"/>
      <c r="D24" s="30"/>
      <c r="E24" s="29"/>
      <c r="F24" s="30"/>
      <c r="G24" s="3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62"/>
      <c r="Z24" s="163"/>
      <c r="AA24" s="163"/>
      <c r="AB24" s="163"/>
      <c r="AC24" s="164"/>
      <c r="AD24" s="28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2:42" ht="12.95">
      <c r="B25" s="30"/>
      <c r="C25" s="30"/>
      <c r="D25" s="30"/>
      <c r="E25" s="29"/>
      <c r="F25" s="30"/>
      <c r="G25" s="30"/>
      <c r="H25" s="1"/>
      <c r="I25" s="1"/>
      <c r="J25" s="1"/>
      <c r="K25" s="1"/>
      <c r="L25" s="46"/>
      <c r="M25" s="46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62"/>
      <c r="Z25" s="163"/>
      <c r="AA25" s="163"/>
      <c r="AB25" s="163"/>
      <c r="AC25" s="164"/>
      <c r="AD25" s="28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2:42" ht="13.5" thickBot="1">
      <c r="B26" s="30"/>
      <c r="C26" s="30"/>
      <c r="D26" s="30"/>
      <c r="E26" s="29"/>
      <c r="F26" s="175">
        <f>C18</f>
        <v>0</v>
      </c>
      <c r="G26" s="176"/>
      <c r="H26" s="1"/>
      <c r="I26" s="1"/>
      <c r="J26" s="1"/>
      <c r="K26" s="1"/>
      <c r="L26" s="175">
        <f>C12</f>
        <v>0</v>
      </c>
      <c r="M26" s="176"/>
      <c r="N26" s="1"/>
      <c r="O26" s="1"/>
      <c r="P26" s="1"/>
      <c r="Q26" s="1"/>
      <c r="R26" s="175">
        <f>C6</f>
        <v>0</v>
      </c>
      <c r="S26" s="176"/>
      <c r="T26" s="1"/>
      <c r="U26" s="1"/>
      <c r="V26" s="1"/>
      <c r="W26" s="1"/>
      <c r="X26" s="1"/>
      <c r="Y26" s="165"/>
      <c r="Z26" s="166"/>
      <c r="AA26" s="166"/>
      <c r="AB26" s="166"/>
      <c r="AC26" s="167"/>
      <c r="AD26" s="28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2:42" ht="13.5" thickTop="1">
      <c r="B27" s="30"/>
      <c r="C27" s="30"/>
      <c r="D27" s="30"/>
      <c r="E27" s="29"/>
      <c r="F27" s="30"/>
      <c r="G27" s="3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28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2:42" ht="12.95">
      <c r="B28" s="30"/>
      <c r="C28" s="30"/>
      <c r="D28" s="30"/>
      <c r="E28" s="29"/>
      <c r="F28" s="30"/>
      <c r="G28" s="3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28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2:42" ht="12.95">
      <c r="B29" s="30"/>
      <c r="C29" s="30"/>
      <c r="D29" s="30"/>
      <c r="E29" s="29"/>
      <c r="F29" s="30"/>
      <c r="G29" s="3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28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2:42" ht="12.95">
      <c r="B30" s="30"/>
      <c r="C30" s="30"/>
      <c r="D30" s="30"/>
      <c r="E30" s="29"/>
      <c r="F30" s="30"/>
      <c r="G30" s="3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28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2:42" ht="12.95">
      <c r="B31" s="30"/>
      <c r="C31" s="30"/>
      <c r="D31" s="30"/>
      <c r="E31" s="29"/>
      <c r="F31" s="175">
        <f>C19</f>
        <v>0</v>
      </c>
      <c r="G31" s="176"/>
      <c r="H31" s="1"/>
      <c r="I31" s="1"/>
      <c r="J31" s="1"/>
      <c r="K31" s="1"/>
      <c r="L31" s="175">
        <f>C13</f>
        <v>0</v>
      </c>
      <c r="M31" s="176"/>
      <c r="N31" s="1"/>
      <c r="O31" s="1"/>
      <c r="P31" s="1"/>
      <c r="Q31" s="1"/>
      <c r="R31" s="175">
        <f>C7</f>
        <v>0</v>
      </c>
      <c r="S31" s="176">
        <f>C15</f>
        <v>0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28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2:42" ht="12.95">
      <c r="B32" s="30"/>
      <c r="C32" s="30"/>
      <c r="D32" s="30"/>
      <c r="E32" s="29"/>
      <c r="F32" s="30"/>
      <c r="G32" s="3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28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2:42" ht="12.95">
      <c r="B33" s="30"/>
      <c r="C33" s="30"/>
      <c r="E33" s="2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28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2:42" ht="12.95">
      <c r="B34" s="30"/>
      <c r="C34" s="30"/>
      <c r="D34" s="30"/>
      <c r="E34" s="29"/>
      <c r="F34" s="30"/>
      <c r="G34" s="30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28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2:42" ht="12.95">
      <c r="B35" s="30"/>
      <c r="C35" s="30"/>
      <c r="D35" s="30"/>
      <c r="E35" s="29"/>
      <c r="F35" s="30"/>
      <c r="G35" s="3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28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2:42" ht="12.95">
      <c r="B36" s="30"/>
      <c r="C36" s="30"/>
      <c r="D36" s="30"/>
      <c r="E36" s="29"/>
      <c r="F36" s="30"/>
      <c r="G36" s="3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28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2:42" ht="12.95">
      <c r="B37" s="30"/>
      <c r="C37" s="30"/>
      <c r="D37" s="30"/>
      <c r="E37" s="29"/>
      <c r="F37" s="175">
        <f>C20</f>
        <v>0</v>
      </c>
      <c r="G37" s="176"/>
      <c r="H37" s="1"/>
      <c r="I37" s="1"/>
      <c r="J37" s="1"/>
      <c r="K37" s="1"/>
      <c r="L37" s="175">
        <f>C14</f>
        <v>0</v>
      </c>
      <c r="M37" s="176"/>
      <c r="N37" s="1"/>
      <c r="O37" s="1"/>
      <c r="P37" s="1"/>
      <c r="Q37" s="1"/>
      <c r="R37" s="175">
        <f>C8</f>
        <v>0</v>
      </c>
      <c r="S37" s="176">
        <f>C18</f>
        <v>0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28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2:42" ht="12.95">
      <c r="B38" s="30"/>
      <c r="C38" s="30"/>
      <c r="D38" s="30"/>
      <c r="E38" s="29"/>
      <c r="F38" s="30"/>
      <c r="G38" s="3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28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2:42" ht="12.95">
      <c r="B39" s="30"/>
      <c r="C39" s="30"/>
      <c r="D39" s="30"/>
      <c r="E39" s="29"/>
      <c r="F39" s="30"/>
      <c r="G39" s="3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28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2:42" ht="12.95">
      <c r="B40" s="30"/>
      <c r="C40" s="30"/>
      <c r="D40" s="30"/>
      <c r="E40" s="29"/>
      <c r="F40" s="30"/>
      <c r="G40" s="3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28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2:42" ht="12.95">
      <c r="B41" s="30"/>
      <c r="C41" s="30"/>
      <c r="D41" s="30"/>
      <c r="E41" s="29"/>
      <c r="F41" s="30"/>
      <c r="G41" s="30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28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2:42" ht="12.95">
      <c r="B42" s="30"/>
      <c r="C42" s="30"/>
      <c r="D42" s="30"/>
      <c r="E42" s="29"/>
      <c r="F42" s="30"/>
      <c r="G42" s="30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28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2:42" ht="12.95">
      <c r="B43" s="30"/>
      <c r="C43" s="30"/>
      <c r="E43" s="2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28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2:42" ht="12.95">
      <c r="B44" s="30"/>
      <c r="C44" s="30"/>
      <c r="D44" s="30"/>
      <c r="E44" s="29"/>
      <c r="F44" s="30"/>
      <c r="G44" s="30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28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2:42" ht="13.5" thickBot="1">
      <c r="B45" s="30"/>
      <c r="C45" s="30"/>
      <c r="D45" s="30"/>
      <c r="E45" s="31"/>
      <c r="F45" s="32"/>
      <c r="G45" s="32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4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2:42" ht="12.95">
      <c r="B46" s="30"/>
      <c r="C46" s="30"/>
      <c r="D46" s="30"/>
      <c r="E46" s="30"/>
      <c r="F46" s="30"/>
      <c r="G46" s="3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2:42" ht="12.95">
      <c r="B47" s="30"/>
      <c r="C47" s="30"/>
      <c r="D47" s="30"/>
      <c r="E47" s="30"/>
      <c r="F47" s="30"/>
      <c r="G47" s="30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2:42" s="1" customFormat="1" ht="12.95"/>
    <row r="49" spans="2:30" s="1" customFormat="1" ht="12.95">
      <c r="B49" s="151" t="s">
        <v>59</v>
      </c>
      <c r="C49" s="151"/>
      <c r="D49" s="152" t="s">
        <v>60</v>
      </c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70" t="s">
        <v>72</v>
      </c>
      <c r="Z49" s="171"/>
      <c r="AA49" s="171"/>
      <c r="AB49" s="171"/>
      <c r="AC49" s="171"/>
      <c r="AD49" s="172"/>
    </row>
    <row r="50" spans="2:30" s="1" customFormat="1" ht="12.95"/>
    <row r="51" spans="2:30" s="1" customFormat="1" ht="12.75" hidden="1" customHeight="1"/>
    <row r="52" spans="2:30" s="1" customFormat="1" ht="12.75" hidden="1" customHeight="1"/>
    <row r="53" spans="2:30" s="1" customFormat="1" ht="12.75" hidden="1" customHeight="1"/>
    <row r="54" spans="2:30" s="1" customFormat="1" ht="12.75" hidden="1" customHeight="1"/>
    <row r="55" spans="2:30" s="1" customFormat="1" ht="12.75" hidden="1" customHeight="1"/>
    <row r="56" spans="2:30" s="1" customFormat="1" ht="12.75" hidden="1" customHeight="1"/>
    <row r="57" spans="2:30" s="1" customFormat="1" ht="12.75" hidden="1" customHeight="1"/>
    <row r="58" spans="2:30" s="1" customFormat="1" ht="12.75" hidden="1" customHeight="1"/>
    <row r="59" spans="2:30" s="1" customFormat="1" ht="12.75" hidden="1" customHeight="1"/>
    <row r="60" spans="2:30" s="1" customFormat="1" ht="12.75" hidden="1" customHeight="1"/>
    <row r="61" spans="2:30" s="1" customFormat="1" ht="12.75" hidden="1" customHeight="1"/>
    <row r="62" spans="2:30" s="1" customFormat="1" ht="12.75" hidden="1" customHeight="1"/>
    <row r="63" spans="2:30" s="1" customFormat="1" ht="12.75" hidden="1" customHeight="1"/>
    <row r="64" spans="2:30" s="1" customFormat="1" ht="12.75" hidden="1" customHeight="1"/>
    <row r="65" s="1" customFormat="1" ht="12.75" hidden="1" customHeight="1"/>
    <row r="66" s="1" customFormat="1" ht="12.75" hidden="1" customHeight="1"/>
    <row r="67" s="1" customFormat="1" ht="12.75" hidden="1" customHeight="1"/>
    <row r="68" s="1" customFormat="1" ht="12.75" hidden="1" customHeight="1"/>
    <row r="69" s="1" customFormat="1" ht="12.75" hidden="1" customHeight="1"/>
    <row r="70" s="1" customFormat="1" ht="12.75" hidden="1" customHeight="1"/>
    <row r="71" s="1" customFormat="1" ht="12.75" hidden="1" customHeight="1"/>
    <row r="72" s="1" customFormat="1" ht="12.75" hidden="1" customHeight="1"/>
    <row r="73" s="1" customFormat="1" ht="12.75" hidden="1" customHeight="1"/>
    <row r="74" s="1" customFormat="1" ht="12.75" hidden="1" customHeight="1"/>
    <row r="75" s="1" customFormat="1" ht="12.75" hidden="1" customHeight="1"/>
    <row r="76" s="1" customFormat="1" ht="12.75" hidden="1" customHeight="1"/>
    <row r="77" s="1" customFormat="1" ht="12.75" hidden="1" customHeight="1"/>
    <row r="78" s="1" customFormat="1" ht="12.75" hidden="1" customHeight="1"/>
    <row r="79" s="1" customFormat="1" ht="12.75" hidden="1" customHeight="1"/>
    <row r="80" s="1" customFormat="1" ht="12.75" hidden="1" customHeight="1"/>
    <row r="81" s="1" customFormat="1" ht="12.75" hidden="1" customHeight="1"/>
    <row r="82" s="1" customFormat="1" ht="12.75" hidden="1" customHeight="1"/>
    <row r="83" s="1" customFormat="1" ht="12.75" hidden="1" customHeight="1"/>
    <row r="84" s="1" customFormat="1" ht="12.75" hidden="1" customHeight="1"/>
    <row r="85" s="1" customFormat="1" ht="12.75" hidden="1" customHeight="1"/>
    <row r="86" s="1" customFormat="1" ht="12.75" hidden="1" customHeight="1"/>
    <row r="87" s="1" customFormat="1" ht="12.75" hidden="1" customHeight="1"/>
    <row r="88" s="1" customFormat="1" ht="12.75" hidden="1" customHeight="1"/>
    <row r="89" s="1" customFormat="1" ht="12.75" hidden="1" customHeight="1"/>
    <row r="90" s="1" customFormat="1" ht="12.75" hidden="1" customHeight="1"/>
    <row r="91" s="1" customFormat="1" ht="12.75" hidden="1" customHeight="1"/>
    <row r="92" s="1" customFormat="1" ht="12.75" hidden="1" customHeight="1"/>
    <row r="93" s="1" customFormat="1" ht="12.75" hidden="1" customHeight="1"/>
    <row r="94" s="1" customFormat="1" ht="12.75" hidden="1" customHeight="1"/>
    <row r="95" s="1" customFormat="1" ht="12.75" hidden="1" customHeight="1"/>
    <row r="96" s="1" customFormat="1" ht="12.75" hidden="1" customHeight="1"/>
    <row r="97" s="1" customFormat="1" ht="12.75" hidden="1" customHeight="1"/>
    <row r="98" s="1" customFormat="1" ht="12.75" hidden="1" customHeight="1"/>
    <row r="99" s="1" customFormat="1" ht="12.75" hidden="1" customHeight="1"/>
    <row r="100" s="1" customFormat="1" ht="12.75" hidden="1" customHeight="1"/>
    <row r="101" s="1" customFormat="1" ht="12.75" hidden="1" customHeight="1"/>
    <row r="102" s="1" customFormat="1" ht="12.75" hidden="1" customHeight="1"/>
    <row r="103" s="1" customFormat="1" ht="12.75" hidden="1" customHeight="1"/>
    <row r="104" s="1" customFormat="1" ht="12.75" hidden="1" customHeight="1"/>
    <row r="105" s="1" customFormat="1" ht="12.75" hidden="1" customHeight="1"/>
    <row r="106" s="1" customFormat="1" ht="12.75" hidden="1" customHeight="1"/>
    <row r="107" s="1" customFormat="1" ht="12.75" hidden="1" customHeight="1"/>
    <row r="108" s="1" customFormat="1" ht="12.75" hidden="1" customHeight="1"/>
    <row r="109" s="1" customFormat="1" ht="12.75" hidden="1" customHeight="1"/>
    <row r="110" s="1" customFormat="1" ht="12.75" hidden="1" customHeight="1"/>
    <row r="111" s="1" customFormat="1" ht="12.75" hidden="1" customHeight="1"/>
    <row r="112" s="1" customFormat="1" ht="12.75" hidden="1" customHeight="1"/>
    <row r="113" s="1" customFormat="1" ht="12.75" hidden="1" customHeight="1"/>
    <row r="114" s="1" customFormat="1" ht="12.75" hidden="1" customHeight="1"/>
    <row r="115" s="1" customFormat="1" ht="12.75" hidden="1" customHeight="1"/>
    <row r="116" s="1" customFormat="1" ht="12.75" hidden="1" customHeight="1"/>
    <row r="117" s="1" customFormat="1" ht="12.75" hidden="1" customHeight="1"/>
    <row r="118" s="1" customFormat="1" ht="12.75" hidden="1" customHeight="1"/>
    <row r="119" s="1" customFormat="1" ht="12.75" hidden="1" customHeight="1"/>
    <row r="120" s="1" customFormat="1" ht="12.75" hidden="1" customHeight="1"/>
    <row r="121" s="1" customFormat="1" ht="12.75" hidden="1" customHeight="1"/>
    <row r="122" s="1" customFormat="1" ht="12.75" hidden="1" customHeight="1"/>
    <row r="123" s="1" customFormat="1" ht="12.75" hidden="1" customHeight="1"/>
    <row r="124" s="1" customFormat="1" ht="12.75" hidden="1" customHeight="1"/>
    <row r="125" s="1" customFormat="1" ht="12.75" hidden="1" customHeight="1"/>
    <row r="126" s="1" customFormat="1" ht="12.75" hidden="1" customHeight="1"/>
    <row r="127" s="1" customFormat="1" ht="12.75" hidden="1" customHeight="1"/>
    <row r="128" s="1" customFormat="1" ht="12.75" hidden="1" customHeight="1"/>
    <row r="129" s="1" customFormat="1" ht="12.75" hidden="1" customHeight="1"/>
    <row r="130" s="1" customFormat="1" ht="12.75" hidden="1" customHeight="1"/>
    <row r="131" s="1" customFormat="1" ht="12.75" hidden="1" customHeight="1"/>
    <row r="132" s="1" customFormat="1" ht="12.75" hidden="1" customHeight="1"/>
    <row r="133" s="1" customFormat="1" ht="12.75" hidden="1" customHeight="1"/>
    <row r="134" s="1" customFormat="1" ht="12.75" hidden="1" customHeight="1"/>
    <row r="135" s="1" customFormat="1" ht="12.75" hidden="1" customHeight="1"/>
    <row r="136" s="1" customFormat="1" ht="12.75" hidden="1" customHeight="1"/>
    <row r="137" s="1" customFormat="1" ht="12.75" hidden="1" customHeight="1"/>
    <row r="138" s="1" customFormat="1" ht="12.75" hidden="1" customHeight="1"/>
    <row r="139" s="1" customFormat="1" ht="12.75" hidden="1" customHeight="1"/>
    <row r="140" s="1" customFormat="1" ht="12.75" hidden="1" customHeight="1"/>
    <row r="141" s="1" customFormat="1" ht="12.75" hidden="1" customHeight="1"/>
    <row r="142" s="1" customFormat="1" ht="12.75" hidden="1" customHeight="1"/>
    <row r="143" s="1" customFormat="1" ht="12.75" hidden="1" customHeight="1"/>
    <row r="144" s="1" customFormat="1" ht="12.75" hidden="1" customHeight="1"/>
    <row r="145" s="1" customFormat="1" ht="12.75" hidden="1" customHeight="1"/>
    <row r="146" s="1" customFormat="1" ht="12.75" hidden="1" customHeight="1"/>
    <row r="147" s="1" customFormat="1" ht="12.75" hidden="1" customHeight="1"/>
    <row r="148" s="1" customFormat="1" ht="12.75" hidden="1" customHeight="1"/>
    <row r="149" s="1" customFormat="1" ht="12.75" hidden="1" customHeight="1"/>
    <row r="150" s="1" customFormat="1" ht="12.75" hidden="1" customHeight="1"/>
    <row r="151" s="1" customFormat="1" ht="12.75" hidden="1" customHeight="1"/>
    <row r="152" s="1" customFormat="1" ht="12.75" hidden="1" customHeight="1"/>
    <row r="153" s="1" customFormat="1" ht="12.75" hidden="1" customHeight="1"/>
    <row r="154" s="1" customFormat="1" ht="12.75" hidden="1" customHeight="1"/>
    <row r="155" s="1" customFormat="1" ht="12.75" hidden="1" customHeight="1"/>
    <row r="156" s="1" customFormat="1" ht="12.75" hidden="1" customHeight="1"/>
    <row r="157" s="1" customFormat="1" ht="12.75" hidden="1" customHeight="1"/>
    <row r="158" s="1" customFormat="1" ht="12.75" hidden="1" customHeight="1"/>
    <row r="159" s="1" customFormat="1" ht="12.75" hidden="1" customHeight="1"/>
    <row r="160" s="1" customFormat="1" ht="12.75" hidden="1" customHeight="1"/>
    <row r="161" spans="2:42" s="1" customFormat="1" ht="12.75" hidden="1" customHeight="1"/>
    <row r="162" spans="2:42" s="1" customFormat="1" ht="12.75" hidden="1" customHeight="1"/>
    <row r="163" spans="2:42" s="1" customFormat="1" ht="12.75" hidden="1" customHeight="1"/>
    <row r="164" spans="2:42" s="1" customFormat="1" ht="12.75" hidden="1" customHeight="1"/>
    <row r="165" spans="2:42" s="1" customFormat="1" ht="12.75" hidden="1" customHeight="1"/>
    <row r="166" spans="2:42" s="1" customFormat="1" ht="12.75" hidden="1" customHeight="1"/>
    <row r="167" spans="2:42" s="1" customFormat="1" ht="12.75" hidden="1" customHeight="1"/>
    <row r="168" spans="2:42" s="1" customFormat="1" ht="12.75" hidden="1" customHeight="1"/>
    <row r="169" spans="2:42" s="1" customFormat="1" ht="12.75" hidden="1" customHeight="1"/>
    <row r="170" spans="2:42" s="1" customFormat="1" ht="12.75" hidden="1" customHeight="1">
      <c r="B170" s="2"/>
      <c r="C170" s="2"/>
    </row>
    <row r="171" spans="2:42" s="1" customFormat="1" ht="12.75" hidden="1" customHeight="1">
      <c r="B171" s="2"/>
      <c r="C171" s="2"/>
    </row>
    <row r="172" spans="2:42" ht="12.75" hidden="1" customHeight="1"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2:42" ht="12.75" hidden="1" customHeight="1"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2:42" ht="12.75" hidden="1" customHeight="1"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2:42" ht="12.75" hidden="1" customHeight="1"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2:42" ht="12.75" hidden="1" customHeight="1"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8:42" ht="12.75" hidden="1" customHeight="1"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8:42" ht="12.75" hidden="1" customHeight="1"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8:42" ht="12.75" hidden="1" customHeight="1"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8:42" ht="12.75" hidden="1" customHeight="1"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8:42" ht="12.75" hidden="1" customHeight="1"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8:42" ht="12.75" hidden="1" customHeight="1"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8:42" ht="12.75" hidden="1" customHeight="1"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8:42" ht="12.75" hidden="1" customHeight="1"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8:42" ht="12.75" hidden="1" customHeight="1"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8:42" ht="12.75" hidden="1" customHeight="1"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8:42" ht="12.75" hidden="1" customHeight="1"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8:42" ht="12.75" hidden="1" customHeight="1"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8:42" ht="12.75" hidden="1" customHeight="1"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8:42" ht="12.75" hidden="1" customHeight="1"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8:42" ht="12.75" hidden="1" customHeight="1"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8:42" ht="12.75" hidden="1" customHeight="1"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8:42" ht="12.75" hidden="1" customHeight="1"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8:42" ht="12.75" hidden="1" customHeight="1"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8:42" ht="12.75" hidden="1" customHeight="1"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8:42" ht="12.75" hidden="1" customHeight="1"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8:42" ht="12.75" hidden="1" customHeight="1"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8:42" ht="12.75" hidden="1" customHeight="1"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8:42" ht="12.75" hidden="1" customHeight="1"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8:42" ht="12.75" hidden="1" customHeight="1"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8:42" ht="12.75" hidden="1" customHeight="1"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8:42" ht="12.75" hidden="1" customHeight="1"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8:42" ht="12.75" hidden="1" customHeight="1"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8:42" ht="12.75" hidden="1" customHeight="1"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8:42" ht="12.75" hidden="1" customHeight="1"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8:42" ht="12.75" hidden="1" customHeight="1"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8:42" ht="12.75" hidden="1" customHeight="1"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8:42" ht="12.75" hidden="1" customHeight="1"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8:42" ht="12.75" hidden="1" customHeight="1"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8:42" ht="12.75" hidden="1" customHeight="1"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8:42" ht="12.75" hidden="1" customHeight="1"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8:42" ht="12.75" hidden="1" customHeight="1"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8:42" ht="12.75" hidden="1" customHeight="1"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8:42" ht="12.75" hidden="1" customHeight="1"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8:42" ht="12.75" hidden="1" customHeight="1"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8:42" ht="12.75" hidden="1" customHeight="1"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8:42" ht="12.75" hidden="1" customHeight="1"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8:42" ht="12.75" hidden="1" customHeight="1"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8:42" ht="12.75" hidden="1" customHeight="1"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8:42" ht="12.75" hidden="1" customHeight="1"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8:42" ht="12.75" hidden="1" customHeight="1"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8:42" ht="12.75" hidden="1" customHeight="1"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8:42" ht="12.75" hidden="1" customHeight="1"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8:42" ht="12.75" hidden="1" customHeight="1"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8:42" ht="12.75" hidden="1" customHeight="1"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8:42" ht="12.75" hidden="1" customHeight="1"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8:42" ht="12.75" hidden="1" customHeight="1"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8:42" ht="12.75" hidden="1" customHeight="1"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</sheetData>
  <sheetProtection sheet="1" objects="1" scenarios="1"/>
  <mergeCells count="29">
    <mergeCell ref="B49:C49"/>
    <mergeCell ref="D49:X49"/>
    <mergeCell ref="R18:S18"/>
    <mergeCell ref="R13:S13"/>
    <mergeCell ref="R26:S26"/>
    <mergeCell ref="R31:S31"/>
    <mergeCell ref="R37:S37"/>
    <mergeCell ref="L8:M8"/>
    <mergeCell ref="L13:M13"/>
    <mergeCell ref="L18:M18"/>
    <mergeCell ref="L31:M31"/>
    <mergeCell ref="L37:M37"/>
    <mergeCell ref="L26:M26"/>
    <mergeCell ref="B3:B5"/>
    <mergeCell ref="B18:B20"/>
    <mergeCell ref="Y20:AC26"/>
    <mergeCell ref="Z18:AB18"/>
    <mergeCell ref="Y49:AD49"/>
    <mergeCell ref="R8:S8"/>
    <mergeCell ref="B15:B17"/>
    <mergeCell ref="B12:B14"/>
    <mergeCell ref="B9:B11"/>
    <mergeCell ref="B6:B8"/>
    <mergeCell ref="F8:G8"/>
    <mergeCell ref="F13:G13"/>
    <mergeCell ref="F18:G18"/>
    <mergeCell ref="F26:G26"/>
    <mergeCell ref="F31:G31"/>
    <mergeCell ref="F37:G37"/>
  </mergeCells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9"/>
  <sheetViews>
    <sheetView zoomScale="85" zoomScaleNormal="85" workbookViewId="0">
      <selection activeCell="H10" sqref="H10"/>
    </sheetView>
  </sheetViews>
  <sheetFormatPr defaultColWidth="9.140625" defaultRowHeight="12.95" zeroHeight="1"/>
  <cols>
    <col min="1" max="1" width="8.140625" style="1" customWidth="1"/>
    <col min="2" max="2" width="9.140625" style="1" customWidth="1"/>
    <col min="3" max="3" width="50.7109375" style="4" customWidth="1"/>
    <col min="4" max="4" width="17.140625" style="4" customWidth="1"/>
    <col min="5" max="5" width="22.5703125" style="4" customWidth="1"/>
    <col min="6" max="6" width="21.85546875" style="4" customWidth="1"/>
    <col min="7" max="7" width="30.5703125" style="4" bestFit="1" customWidth="1"/>
    <col min="8" max="8" width="42.42578125" style="4" customWidth="1"/>
    <col min="9" max="16384" width="9.140625" style="2"/>
  </cols>
  <sheetData>
    <row r="1" spans="2:8" ht="13.5" thickBot="1">
      <c r="C1" s="3"/>
      <c r="D1" s="3"/>
      <c r="E1" s="3"/>
      <c r="F1" s="3"/>
      <c r="G1" s="3"/>
      <c r="H1" s="3"/>
    </row>
    <row r="2" spans="2:8" ht="36" customHeight="1">
      <c r="B2" s="142" t="s">
        <v>31</v>
      </c>
      <c r="C2" s="143"/>
      <c r="D2" s="143"/>
      <c r="E2" s="143"/>
      <c r="F2" s="143"/>
      <c r="G2" s="143"/>
      <c r="H2" s="144"/>
    </row>
    <row r="3" spans="2:8" ht="15" customHeight="1" thickBot="1">
      <c r="B3" s="148"/>
      <c r="C3" s="149"/>
      <c r="D3" s="149"/>
      <c r="E3" s="149"/>
      <c r="F3" s="149"/>
      <c r="G3" s="149"/>
      <c r="H3" s="150"/>
    </row>
    <row r="4" spans="2:8" ht="14.1">
      <c r="C4" s="5"/>
      <c r="D4" s="5"/>
      <c r="E4" s="5"/>
      <c r="F4" s="35"/>
      <c r="G4" s="35"/>
      <c r="H4" s="35"/>
    </row>
    <row r="5" spans="2:8" ht="14.1">
      <c r="C5" s="5"/>
      <c r="D5" s="5"/>
      <c r="E5" s="5"/>
      <c r="F5" s="35"/>
      <c r="G5" s="35"/>
      <c r="H5" s="35"/>
    </row>
    <row r="6" spans="2:8" ht="14.1">
      <c r="C6" s="5"/>
      <c r="D6" s="5"/>
      <c r="E6" s="5"/>
      <c r="F6" s="35"/>
      <c r="G6" s="35"/>
      <c r="H6" s="35"/>
    </row>
    <row r="7" spans="2:8" ht="14.1">
      <c r="C7" s="5"/>
      <c r="D7" s="5"/>
      <c r="E7" s="5"/>
      <c r="F7" s="35"/>
      <c r="G7" s="35"/>
      <c r="H7" s="35"/>
    </row>
    <row r="8" spans="2:8" ht="14.45" thickBot="1">
      <c r="C8" s="5"/>
      <c r="D8" s="5"/>
      <c r="E8" s="5"/>
      <c r="F8" s="35"/>
      <c r="G8" s="35"/>
      <c r="H8" s="35"/>
    </row>
    <row r="9" spans="2:8" ht="30.95" thickTop="1" thickBot="1">
      <c r="B9" s="40" t="s">
        <v>73</v>
      </c>
      <c r="C9" s="41" t="s">
        <v>74</v>
      </c>
      <c r="D9" s="42" t="s">
        <v>75</v>
      </c>
      <c r="E9" s="42" t="s">
        <v>76</v>
      </c>
      <c r="F9" s="43" t="s">
        <v>77</v>
      </c>
      <c r="G9" s="44" t="s">
        <v>78</v>
      </c>
      <c r="H9" s="45" t="s">
        <v>79</v>
      </c>
    </row>
    <row r="10" spans="2:8" ht="60" customHeight="1" thickTop="1" thickBot="1">
      <c r="B10" s="36">
        <v>1</v>
      </c>
      <c r="C10" s="37" t="s">
        <v>80</v>
      </c>
      <c r="D10" s="36" t="s">
        <v>81</v>
      </c>
      <c r="E10" s="36" t="s">
        <v>82</v>
      </c>
      <c r="F10" s="36" t="s">
        <v>83</v>
      </c>
      <c r="G10" s="36" t="s">
        <v>84</v>
      </c>
      <c r="H10" s="37" t="s">
        <v>85</v>
      </c>
    </row>
    <row r="11" spans="2:8" ht="60" customHeight="1" thickTop="1" thickBot="1">
      <c r="B11" s="36">
        <v>2</v>
      </c>
      <c r="C11" s="96" t="s">
        <v>86</v>
      </c>
      <c r="D11" s="97" t="s">
        <v>81</v>
      </c>
      <c r="E11" s="97" t="s">
        <v>87</v>
      </c>
      <c r="F11" s="97" t="s">
        <v>83</v>
      </c>
      <c r="G11" s="97" t="s">
        <v>84</v>
      </c>
      <c r="H11" s="37" t="s">
        <v>88</v>
      </c>
    </row>
    <row r="12" spans="2:8" ht="60" customHeight="1" thickTop="1" thickBot="1">
      <c r="B12" s="36"/>
      <c r="C12" s="96"/>
      <c r="D12" s="97"/>
      <c r="E12" s="97"/>
      <c r="F12" s="97"/>
      <c r="G12" s="97"/>
      <c r="H12" s="37"/>
    </row>
    <row r="13" spans="2:8" ht="60" customHeight="1" thickTop="1" thickBot="1">
      <c r="B13" s="36"/>
      <c r="C13" s="37"/>
      <c r="D13" s="36"/>
      <c r="E13" s="36"/>
      <c r="F13" s="36"/>
      <c r="G13" s="36"/>
      <c r="H13" s="37"/>
    </row>
    <row r="14" spans="2:8" ht="60" customHeight="1" thickTop="1" thickBot="1">
      <c r="B14" s="36"/>
      <c r="C14" s="37"/>
      <c r="D14" s="36"/>
      <c r="E14" s="36"/>
      <c r="F14" s="36"/>
      <c r="G14" s="36"/>
      <c r="H14" s="37"/>
    </row>
    <row r="15" spans="2:8" ht="60" customHeight="1" thickTop="1" thickBot="1">
      <c r="B15" s="36"/>
      <c r="C15" s="37"/>
      <c r="D15" s="36"/>
      <c r="E15" s="36"/>
      <c r="F15" s="36"/>
      <c r="G15" s="36"/>
      <c r="H15" s="37"/>
    </row>
    <row r="16" spans="2:8" ht="60" customHeight="1" thickTop="1" thickBot="1">
      <c r="B16" s="36"/>
      <c r="C16" s="37"/>
      <c r="D16" s="36"/>
      <c r="E16" s="36"/>
      <c r="F16" s="36"/>
      <c r="G16" s="36"/>
      <c r="H16" s="37"/>
    </row>
    <row r="17" spans="2:8" ht="60" customHeight="1" thickTop="1" thickBot="1">
      <c r="B17" s="36"/>
      <c r="C17" s="37"/>
      <c r="D17" s="36"/>
      <c r="E17" s="36"/>
      <c r="F17" s="36"/>
      <c r="G17" s="36"/>
      <c r="H17" s="37"/>
    </row>
    <row r="18" spans="2:8" ht="60" customHeight="1" thickTop="1" thickBot="1">
      <c r="B18" s="36"/>
      <c r="C18" s="37"/>
      <c r="D18" s="36"/>
      <c r="E18" s="36"/>
      <c r="F18" s="36"/>
      <c r="G18" s="36"/>
      <c r="H18" s="37"/>
    </row>
    <row r="19" spans="2:8" ht="60" customHeight="1" thickTop="1" thickBot="1">
      <c r="B19" s="36"/>
      <c r="C19" s="37"/>
      <c r="D19" s="36"/>
      <c r="E19" s="36"/>
      <c r="F19" s="36"/>
      <c r="G19" s="36"/>
      <c r="H19" s="37"/>
    </row>
    <row r="20" spans="2:8" ht="60" customHeight="1" thickTop="1" thickBot="1">
      <c r="B20" s="36"/>
      <c r="C20" s="37"/>
      <c r="D20" s="36"/>
      <c r="E20" s="36"/>
      <c r="F20" s="36"/>
      <c r="G20" s="36"/>
      <c r="H20" s="37"/>
    </row>
    <row r="21" spans="2:8" ht="60" customHeight="1" thickTop="1" thickBot="1">
      <c r="B21" s="36"/>
      <c r="C21" s="37"/>
      <c r="D21" s="36"/>
      <c r="E21" s="36"/>
      <c r="F21" s="36"/>
      <c r="G21" s="36"/>
      <c r="H21" s="37"/>
    </row>
    <row r="22" spans="2:8" ht="60" customHeight="1" thickTop="1" thickBot="1">
      <c r="B22" s="36"/>
      <c r="C22" s="93"/>
      <c r="D22" s="36"/>
      <c r="E22" s="36"/>
      <c r="F22" s="36"/>
      <c r="G22" s="36"/>
      <c r="H22" s="37"/>
    </row>
    <row r="23" spans="2:8" ht="60" customHeight="1" thickTop="1" thickBot="1">
      <c r="B23" s="36"/>
      <c r="C23" s="37"/>
      <c r="D23" s="36"/>
      <c r="E23" s="36"/>
      <c r="F23" s="36"/>
      <c r="G23" s="36"/>
      <c r="H23" s="37"/>
    </row>
    <row r="24" spans="2:8" ht="60" customHeight="1" thickTop="1" thickBot="1">
      <c r="B24" s="36"/>
      <c r="C24" s="37"/>
      <c r="D24" s="36"/>
      <c r="E24" s="36"/>
      <c r="F24" s="36"/>
      <c r="G24" s="36"/>
      <c r="H24" s="37"/>
    </row>
    <row r="25" spans="2:8" ht="60" customHeight="1" thickTop="1" thickBot="1">
      <c r="B25" s="36"/>
      <c r="C25" s="37"/>
      <c r="D25" s="36"/>
      <c r="E25" s="36"/>
      <c r="F25" s="36"/>
      <c r="G25" s="36"/>
      <c r="H25" s="37"/>
    </row>
    <row r="26" spans="2:8" ht="60" customHeight="1" thickTop="1" thickBot="1">
      <c r="B26" s="36"/>
      <c r="C26" s="37"/>
      <c r="D26" s="36"/>
      <c r="E26" s="36"/>
      <c r="F26" s="36"/>
      <c r="G26" s="36"/>
      <c r="H26" s="37"/>
    </row>
    <row r="27" spans="2:8" ht="60" customHeight="1" thickTop="1" thickBot="1">
      <c r="B27" s="36"/>
      <c r="C27" s="37"/>
      <c r="D27" s="36"/>
      <c r="E27" s="36"/>
      <c r="F27" s="36"/>
      <c r="G27" s="36"/>
      <c r="H27" s="37"/>
    </row>
    <row r="28" spans="2:8" ht="60" customHeight="1" thickTop="1" thickBot="1">
      <c r="B28" s="36"/>
      <c r="C28" s="37"/>
      <c r="D28" s="36"/>
      <c r="E28" s="36"/>
      <c r="F28" s="36"/>
      <c r="G28" s="36"/>
      <c r="H28" s="37"/>
    </row>
    <row r="29" spans="2:8" ht="60" customHeight="1" thickTop="1" thickBot="1">
      <c r="B29" s="36"/>
      <c r="C29" s="37"/>
      <c r="D29" s="36"/>
      <c r="E29" s="36"/>
      <c r="F29" s="36"/>
      <c r="G29" s="36"/>
      <c r="H29" s="37"/>
    </row>
    <row r="30" spans="2:8" ht="60" customHeight="1" thickTop="1" thickBot="1">
      <c r="B30" s="36"/>
      <c r="C30" s="37"/>
      <c r="D30" s="36"/>
      <c r="E30" s="36"/>
      <c r="F30" s="36"/>
      <c r="G30" s="36"/>
      <c r="H30" s="37"/>
    </row>
    <row r="31" spans="2:8" ht="60" customHeight="1" thickTop="1" thickBot="1">
      <c r="B31" s="36"/>
      <c r="C31" s="37"/>
      <c r="D31" s="36"/>
      <c r="E31" s="36"/>
      <c r="F31" s="36"/>
      <c r="G31" s="36"/>
      <c r="H31" s="37"/>
    </row>
    <row r="32" spans="2:8" ht="60" customHeight="1" thickTop="1" thickBot="1">
      <c r="B32" s="36"/>
      <c r="C32" s="37"/>
      <c r="D32" s="36"/>
      <c r="E32" s="36"/>
      <c r="F32" s="36"/>
      <c r="G32" s="36"/>
      <c r="H32" s="37"/>
    </row>
    <row r="33" spans="2:8" ht="60" customHeight="1" thickTop="1" thickBot="1">
      <c r="B33" s="36"/>
      <c r="C33" s="37"/>
      <c r="D33" s="36"/>
      <c r="E33" s="36"/>
      <c r="F33" s="36"/>
      <c r="G33" s="36"/>
      <c r="H33" s="37"/>
    </row>
    <row r="34" spans="2:8" ht="60" customHeight="1" thickTop="1" thickBot="1">
      <c r="B34" s="36"/>
      <c r="C34" s="37"/>
      <c r="D34" s="36"/>
      <c r="E34" s="36"/>
      <c r="F34" s="36"/>
      <c r="G34" s="36"/>
      <c r="H34" s="37"/>
    </row>
    <row r="35" spans="2:8" ht="60" customHeight="1" thickTop="1" thickBot="1">
      <c r="B35" s="36"/>
      <c r="C35" s="37"/>
      <c r="D35" s="36"/>
      <c r="E35" s="36"/>
      <c r="F35" s="36"/>
      <c r="G35" s="36"/>
      <c r="H35" s="37"/>
    </row>
    <row r="36" spans="2:8" ht="60" customHeight="1" thickTop="1" thickBot="1">
      <c r="B36" s="36"/>
      <c r="C36" s="37"/>
      <c r="D36" s="36"/>
      <c r="E36" s="36"/>
      <c r="F36" s="36"/>
      <c r="G36" s="36"/>
      <c r="H36" s="37"/>
    </row>
    <row r="37" spans="2:8" ht="60" customHeight="1" thickTop="1" thickBot="1">
      <c r="B37" s="36"/>
      <c r="C37" s="37"/>
      <c r="D37" s="36"/>
      <c r="E37" s="36"/>
      <c r="F37" s="36"/>
      <c r="G37" s="36"/>
      <c r="H37" s="37"/>
    </row>
    <row r="38" spans="2:8" ht="60" customHeight="1" thickTop="1" thickBot="1">
      <c r="B38" s="36"/>
      <c r="C38" s="37"/>
      <c r="D38" s="36"/>
      <c r="E38" s="36"/>
      <c r="F38" s="36"/>
      <c r="G38" s="36"/>
      <c r="H38" s="37"/>
    </row>
    <row r="39" spans="2:8" ht="60" customHeight="1" thickTop="1" thickBot="1">
      <c r="B39" s="36"/>
      <c r="C39" s="37"/>
      <c r="D39" s="36"/>
      <c r="E39" s="36"/>
      <c r="F39" s="36"/>
      <c r="G39" s="36"/>
      <c r="H39" s="37"/>
    </row>
    <row r="40" spans="2:8" ht="60" customHeight="1" thickTop="1" thickBot="1">
      <c r="B40" s="36"/>
      <c r="C40" s="37"/>
      <c r="D40" s="36"/>
      <c r="E40" s="36"/>
      <c r="F40" s="36"/>
      <c r="G40" s="36"/>
      <c r="H40" s="37"/>
    </row>
    <row r="41" spans="2:8" ht="60" customHeight="1" thickTop="1" thickBot="1">
      <c r="B41" s="36"/>
      <c r="C41" s="37"/>
      <c r="D41" s="36"/>
      <c r="E41" s="36"/>
      <c r="F41" s="36"/>
      <c r="G41" s="36"/>
      <c r="H41" s="37"/>
    </row>
    <row r="42" spans="2:8" ht="60" customHeight="1" thickTop="1" thickBot="1">
      <c r="B42" s="36"/>
      <c r="C42" s="37"/>
      <c r="D42" s="36"/>
      <c r="E42" s="36"/>
      <c r="F42" s="36"/>
      <c r="G42" s="36"/>
      <c r="H42" s="37"/>
    </row>
    <row r="43" spans="2:8" ht="60" customHeight="1" thickTop="1" thickBot="1">
      <c r="B43" s="36"/>
      <c r="C43" s="37"/>
      <c r="D43" s="36"/>
      <c r="E43" s="36"/>
      <c r="F43" s="36"/>
      <c r="G43" s="36"/>
      <c r="H43" s="37"/>
    </row>
    <row r="44" spans="2:8" ht="60" customHeight="1" thickTop="1" thickBot="1">
      <c r="B44" s="36"/>
      <c r="C44" s="37"/>
      <c r="D44" s="36"/>
      <c r="E44" s="36"/>
      <c r="F44" s="36"/>
      <c r="G44" s="36"/>
      <c r="H44" s="37"/>
    </row>
    <row r="45" spans="2:8" ht="60" customHeight="1" thickTop="1" thickBot="1">
      <c r="B45" s="36"/>
      <c r="C45" s="37"/>
      <c r="D45" s="36"/>
      <c r="E45" s="36"/>
      <c r="F45" s="36"/>
      <c r="G45" s="36"/>
      <c r="H45" s="37"/>
    </row>
    <row r="46" spans="2:8" ht="60" customHeight="1" thickTop="1" thickBot="1">
      <c r="B46" s="36"/>
      <c r="C46" s="37"/>
      <c r="D46" s="36"/>
      <c r="E46" s="36"/>
      <c r="F46" s="36"/>
      <c r="G46" s="36"/>
      <c r="H46" s="37"/>
    </row>
    <row r="47" spans="2:8" ht="60" customHeight="1" thickTop="1" thickBot="1">
      <c r="B47" s="36"/>
      <c r="C47" s="37"/>
      <c r="D47" s="36"/>
      <c r="E47" s="36"/>
      <c r="F47" s="36"/>
      <c r="G47" s="36"/>
      <c r="H47" s="37"/>
    </row>
    <row r="48" spans="2:8" ht="60" customHeight="1" thickTop="1" thickBot="1">
      <c r="B48" s="36"/>
      <c r="C48" s="37"/>
      <c r="D48" s="36"/>
      <c r="E48" s="36"/>
      <c r="F48" s="36"/>
      <c r="G48" s="36"/>
      <c r="H48" s="37"/>
    </row>
    <row r="49" spans="2:8" ht="60" customHeight="1" thickTop="1" thickBot="1">
      <c r="B49" s="36"/>
      <c r="C49" s="37"/>
      <c r="D49" s="36"/>
      <c r="E49" s="36"/>
      <c r="F49" s="36"/>
      <c r="G49" s="36"/>
      <c r="H49" s="37"/>
    </row>
    <row r="50" spans="2:8" ht="60" customHeight="1" thickTop="1" thickBot="1">
      <c r="B50" s="36"/>
      <c r="C50" s="37"/>
      <c r="D50" s="36"/>
      <c r="E50" s="36"/>
      <c r="F50" s="36"/>
      <c r="G50" s="36"/>
      <c r="H50" s="37"/>
    </row>
    <row r="51" spans="2:8" ht="60" customHeight="1" thickTop="1" thickBot="1">
      <c r="B51" s="36"/>
      <c r="C51" s="37"/>
      <c r="D51" s="36"/>
      <c r="E51" s="36"/>
      <c r="F51" s="36"/>
      <c r="G51" s="36"/>
      <c r="H51" s="37"/>
    </row>
    <row r="52" spans="2:8" ht="14.45" thickTop="1">
      <c r="C52" s="12"/>
      <c r="D52" s="12"/>
      <c r="E52" s="12"/>
      <c r="F52" s="12"/>
      <c r="G52" s="12"/>
      <c r="H52" s="12"/>
    </row>
    <row r="53" spans="2:8" ht="14.1">
      <c r="C53" s="12"/>
      <c r="D53" s="12"/>
      <c r="E53" s="12"/>
      <c r="F53" s="12"/>
      <c r="G53" s="12"/>
      <c r="H53" s="12"/>
    </row>
    <row r="54" spans="2:8" ht="14.1">
      <c r="C54" s="12"/>
      <c r="D54" s="12"/>
      <c r="E54" s="12"/>
      <c r="F54" s="12"/>
      <c r="G54" s="12"/>
      <c r="H54" s="12"/>
    </row>
    <row r="55" spans="2:8">
      <c r="B55" s="151" t="s">
        <v>59</v>
      </c>
      <c r="C55" s="151"/>
      <c r="D55" s="152" t="s">
        <v>60</v>
      </c>
      <c r="E55" s="152"/>
      <c r="F55" s="152"/>
      <c r="G55" s="152"/>
      <c r="H55" s="26" t="s">
        <v>89</v>
      </c>
    </row>
    <row r="56" spans="2:8" ht="14.1">
      <c r="C56" s="5"/>
      <c r="D56" s="5"/>
      <c r="E56" s="5"/>
      <c r="F56" s="5"/>
      <c r="G56" s="5"/>
      <c r="H56" s="5"/>
    </row>
    <row r="57" spans="2:8" ht="14.1">
      <c r="C57" s="5"/>
      <c r="D57" s="5"/>
      <c r="E57" s="5"/>
      <c r="F57" s="5"/>
      <c r="G57" s="5"/>
      <c r="H57" s="5"/>
    </row>
    <row r="58" spans="2:8" ht="14.1">
      <c r="C58" s="15"/>
      <c r="D58" s="15"/>
      <c r="E58" s="15"/>
      <c r="F58" s="15"/>
      <c r="G58" s="15"/>
      <c r="H58" s="15"/>
    </row>
    <row r="59" spans="2:8" ht="15" hidden="1" customHeight="1">
      <c r="C59" s="5"/>
      <c r="D59" s="5"/>
      <c r="E59" s="5"/>
      <c r="F59" s="5"/>
      <c r="G59" s="5"/>
      <c r="H59" s="5"/>
    </row>
    <row r="60" spans="2:8" ht="15.75" hidden="1" customHeight="1">
      <c r="C60" s="2"/>
      <c r="D60" s="2"/>
      <c r="E60" s="2"/>
      <c r="F60" s="177" t="s">
        <v>30</v>
      </c>
      <c r="G60" s="178"/>
      <c r="H60" s="179"/>
    </row>
    <row r="61" spans="2:8" ht="15" hidden="1" customHeight="1">
      <c r="C61" s="5"/>
      <c r="D61" s="5"/>
      <c r="E61" s="5"/>
      <c r="F61" s="5"/>
      <c r="G61" s="5"/>
      <c r="H61" s="5"/>
    </row>
    <row r="62" spans="2:8" ht="15" hidden="1" customHeight="1">
      <c r="C62" s="5"/>
      <c r="D62" s="5"/>
      <c r="E62" s="5"/>
      <c r="F62" s="5"/>
      <c r="G62" s="5"/>
      <c r="H62" s="5"/>
    </row>
    <row r="63" spans="2:8" ht="15" hidden="1" customHeight="1">
      <c r="C63" s="5"/>
      <c r="D63" s="5"/>
      <c r="E63" s="5"/>
      <c r="F63" s="5"/>
      <c r="G63" s="5"/>
      <c r="H63" s="5"/>
    </row>
    <row r="64" spans="2:8" ht="15" hidden="1" customHeight="1">
      <c r="C64" s="5"/>
      <c r="D64" s="5"/>
      <c r="E64" s="5"/>
      <c r="F64" s="5"/>
      <c r="G64" s="5"/>
      <c r="H64" s="5"/>
    </row>
    <row r="65" spans="3:8" ht="15" hidden="1" customHeight="1">
      <c r="C65" s="5"/>
      <c r="D65" s="5"/>
      <c r="E65" s="5"/>
      <c r="F65" s="5"/>
      <c r="G65" s="5"/>
      <c r="H65" s="5"/>
    </row>
    <row r="66" spans="3:8" ht="15" hidden="1" customHeight="1">
      <c r="C66" s="5"/>
      <c r="D66" s="5"/>
      <c r="E66" s="5"/>
      <c r="F66" s="5"/>
      <c r="G66" s="5"/>
      <c r="H66" s="5"/>
    </row>
    <row r="67" spans="3:8" ht="15" hidden="1" customHeight="1">
      <c r="C67" s="5"/>
      <c r="D67" s="5"/>
      <c r="E67" s="5"/>
      <c r="F67" s="5"/>
      <c r="G67" s="5"/>
      <c r="H67" s="5"/>
    </row>
    <row r="68" spans="3:8" ht="15" hidden="1" customHeight="1">
      <c r="C68" s="5"/>
      <c r="D68" s="5"/>
      <c r="E68" s="5"/>
      <c r="F68" s="5"/>
      <c r="G68" s="5"/>
      <c r="H68" s="5"/>
    </row>
    <row r="69" spans="3:8" ht="15" hidden="1" customHeight="1">
      <c r="C69" s="5"/>
      <c r="D69" s="5"/>
      <c r="E69" s="5"/>
      <c r="F69" s="5"/>
      <c r="G69" s="5"/>
      <c r="H69" s="5"/>
    </row>
    <row r="70" spans="3:8" ht="15" hidden="1" customHeight="1">
      <c r="C70" s="5"/>
      <c r="D70" s="5"/>
      <c r="E70" s="5"/>
      <c r="F70" s="5"/>
      <c r="G70" s="5"/>
      <c r="H70" s="5"/>
    </row>
    <row r="71" spans="3:8" ht="15" hidden="1" customHeight="1">
      <c r="C71" s="5"/>
      <c r="D71" s="5"/>
      <c r="E71" s="5"/>
      <c r="F71" s="5"/>
      <c r="G71" s="5"/>
      <c r="H71" s="5"/>
    </row>
    <row r="72" spans="3:8" ht="15" hidden="1" customHeight="1">
      <c r="C72" s="5"/>
      <c r="D72" s="5"/>
      <c r="E72" s="5"/>
      <c r="F72" s="5"/>
      <c r="G72" s="5"/>
      <c r="H72" s="5"/>
    </row>
    <row r="73" spans="3:8" ht="15" hidden="1" customHeight="1">
      <c r="C73" s="5"/>
      <c r="D73" s="5"/>
      <c r="E73" s="5"/>
      <c r="F73" s="5"/>
      <c r="G73" s="5"/>
      <c r="H73" s="5"/>
    </row>
    <row r="74" spans="3:8" ht="15" hidden="1" customHeight="1">
      <c r="C74" s="5"/>
      <c r="D74" s="5"/>
      <c r="E74" s="5"/>
      <c r="F74" s="5"/>
      <c r="G74" s="5"/>
      <c r="H74" s="5"/>
    </row>
    <row r="75" spans="3:8" ht="15" hidden="1" customHeight="1">
      <c r="C75" s="5"/>
      <c r="D75" s="5"/>
      <c r="E75" s="5"/>
      <c r="F75" s="5"/>
      <c r="G75" s="5"/>
      <c r="H75" s="5"/>
    </row>
    <row r="76" spans="3:8" ht="15" hidden="1" customHeight="1">
      <c r="C76" s="5"/>
      <c r="D76" s="5"/>
      <c r="E76" s="5"/>
      <c r="F76" s="5"/>
      <c r="G76" s="5"/>
      <c r="H76" s="5"/>
    </row>
    <row r="77" spans="3:8" ht="15" hidden="1" customHeight="1">
      <c r="C77" s="5"/>
      <c r="D77" s="5"/>
      <c r="E77" s="5"/>
      <c r="F77" s="5"/>
      <c r="G77" s="5"/>
      <c r="H77" s="5"/>
    </row>
    <row r="78" spans="3:8" ht="15" hidden="1" customHeight="1">
      <c r="C78" s="5"/>
      <c r="D78" s="5"/>
      <c r="E78" s="5"/>
      <c r="F78" s="5"/>
      <c r="G78" s="5"/>
      <c r="H78" s="5"/>
    </row>
    <row r="79" spans="3:8" ht="15" hidden="1" customHeight="1">
      <c r="C79" s="5"/>
      <c r="D79" s="5"/>
      <c r="E79" s="5"/>
      <c r="F79" s="5"/>
      <c r="G79" s="5"/>
      <c r="H79" s="5"/>
    </row>
    <row r="80" spans="3:8" ht="15" hidden="1" customHeight="1">
      <c r="C80" s="5"/>
      <c r="D80" s="5"/>
      <c r="E80" s="5"/>
      <c r="F80" s="5"/>
      <c r="G80" s="5"/>
      <c r="H80" s="5"/>
    </row>
    <row r="81" spans="3:8" ht="15" hidden="1" customHeight="1">
      <c r="C81" s="5"/>
      <c r="D81" s="5"/>
      <c r="E81" s="5"/>
      <c r="F81" s="5"/>
      <c r="G81" s="5"/>
      <c r="H81" s="5"/>
    </row>
    <row r="82" spans="3:8" ht="15" hidden="1" customHeight="1">
      <c r="C82" s="6"/>
      <c r="D82" s="6"/>
      <c r="E82" s="6"/>
      <c r="F82" s="6"/>
      <c r="G82" s="6"/>
      <c r="H82" s="6"/>
    </row>
    <row r="83" spans="3:8" ht="15" hidden="1" customHeight="1">
      <c r="C83" s="6"/>
      <c r="D83" s="6"/>
      <c r="E83" s="6"/>
      <c r="F83" s="6"/>
      <c r="G83" s="6"/>
      <c r="H83" s="6"/>
    </row>
    <row r="84" spans="3:8" ht="15" hidden="1" customHeight="1">
      <c r="C84" s="6"/>
      <c r="D84" s="6"/>
      <c r="E84" s="6"/>
      <c r="F84" s="6"/>
      <c r="G84" s="6"/>
      <c r="H84" s="6"/>
    </row>
    <row r="85" spans="3:8" ht="15" hidden="1" customHeight="1">
      <c r="C85" s="6"/>
      <c r="D85" s="6"/>
      <c r="E85" s="6"/>
      <c r="F85" s="6"/>
      <c r="G85" s="6"/>
      <c r="H85" s="6"/>
    </row>
    <row r="86" spans="3:8" ht="15" hidden="1" customHeight="1">
      <c r="C86" s="6"/>
      <c r="D86" s="6"/>
      <c r="E86" s="6"/>
      <c r="F86" s="6"/>
      <c r="G86" s="6"/>
      <c r="H86" s="6"/>
    </row>
    <row r="87" spans="3:8" ht="15" hidden="1" customHeight="1">
      <c r="C87" s="6"/>
      <c r="D87" s="6"/>
      <c r="E87" s="6"/>
      <c r="F87" s="6"/>
      <c r="G87" s="6"/>
      <c r="H87" s="6"/>
    </row>
    <row r="88" spans="3:8" ht="15" hidden="1" customHeight="1">
      <c r="C88" s="6"/>
      <c r="D88" s="6"/>
      <c r="E88" s="6"/>
      <c r="F88" s="6"/>
      <c r="G88" s="6"/>
      <c r="H88" s="6"/>
    </row>
    <row r="89" spans="3:8" ht="15" hidden="1" customHeight="1">
      <c r="C89" s="6"/>
      <c r="D89" s="6"/>
      <c r="E89" s="6"/>
      <c r="F89" s="6"/>
      <c r="G89" s="6"/>
      <c r="H89" s="6"/>
    </row>
    <row r="90" spans="3:8" ht="15" hidden="1" customHeight="1">
      <c r="C90" s="6"/>
      <c r="D90" s="6"/>
      <c r="E90" s="6"/>
      <c r="F90" s="6"/>
      <c r="G90" s="6"/>
      <c r="H90" s="6"/>
    </row>
    <row r="91" spans="3:8" ht="15" hidden="1" customHeight="1">
      <c r="C91" s="6"/>
      <c r="D91" s="6"/>
      <c r="E91" s="6"/>
      <c r="F91" s="6"/>
      <c r="G91" s="6"/>
      <c r="H91" s="6"/>
    </row>
    <row r="92" spans="3:8" ht="15" hidden="1" customHeight="1">
      <c r="C92" s="6"/>
      <c r="D92" s="6"/>
      <c r="E92" s="6"/>
      <c r="F92" s="6"/>
      <c r="G92" s="6"/>
      <c r="H92" s="6"/>
    </row>
    <row r="93" spans="3:8" ht="15" hidden="1" customHeight="1">
      <c r="C93" s="6"/>
      <c r="D93" s="6"/>
      <c r="E93" s="6"/>
      <c r="F93" s="6"/>
      <c r="G93" s="6"/>
      <c r="H93" s="6"/>
    </row>
    <row r="94" spans="3:8" ht="15" hidden="1" customHeight="1">
      <c r="C94" s="6"/>
      <c r="D94" s="6"/>
      <c r="E94" s="6"/>
      <c r="F94" s="6"/>
      <c r="G94" s="6"/>
      <c r="H94" s="6"/>
    </row>
    <row r="95" spans="3:8" ht="15" hidden="1" customHeight="1">
      <c r="C95" s="6"/>
      <c r="D95" s="6"/>
      <c r="E95" s="6"/>
      <c r="F95" s="6"/>
      <c r="G95" s="6"/>
      <c r="H95" s="6"/>
    </row>
    <row r="96" spans="3:8" ht="15" hidden="1" customHeight="1">
      <c r="C96" s="6"/>
      <c r="D96" s="6"/>
      <c r="E96" s="6"/>
      <c r="F96" s="6"/>
      <c r="G96" s="6"/>
      <c r="H96" s="6"/>
    </row>
    <row r="97" spans="3:8" ht="15" hidden="1" customHeight="1">
      <c r="C97" s="6"/>
      <c r="D97" s="6"/>
      <c r="E97" s="6"/>
      <c r="F97" s="6"/>
      <c r="G97" s="6"/>
      <c r="H97" s="6"/>
    </row>
    <row r="98" spans="3:8" ht="15" hidden="1" customHeight="1">
      <c r="C98" s="6"/>
      <c r="D98" s="6"/>
      <c r="E98" s="6"/>
      <c r="F98" s="6"/>
      <c r="G98" s="6"/>
      <c r="H98" s="6"/>
    </row>
    <row r="99" spans="3:8" ht="15" hidden="1" customHeight="1">
      <c r="C99" s="6"/>
      <c r="D99" s="6"/>
      <c r="E99" s="6"/>
      <c r="F99" s="6"/>
      <c r="G99" s="6"/>
      <c r="H99" s="6"/>
    </row>
    <row r="100" spans="3:8" ht="15" hidden="1" customHeight="1">
      <c r="C100" s="6"/>
      <c r="D100" s="6"/>
      <c r="E100" s="6"/>
      <c r="F100" s="6"/>
      <c r="G100" s="6"/>
      <c r="H100" s="6"/>
    </row>
    <row r="101" spans="3:8" ht="15" hidden="1" customHeight="1">
      <c r="C101" s="6"/>
      <c r="D101" s="6"/>
      <c r="E101" s="6"/>
      <c r="F101" s="6"/>
      <c r="G101" s="6"/>
      <c r="H101" s="6"/>
    </row>
    <row r="102" spans="3:8" ht="15" hidden="1" customHeight="1">
      <c r="C102" s="6"/>
      <c r="D102" s="6"/>
      <c r="E102" s="6"/>
      <c r="F102" s="6"/>
      <c r="G102" s="6"/>
      <c r="H102" s="6"/>
    </row>
    <row r="103" spans="3:8" ht="15" hidden="1" customHeight="1">
      <c r="C103" s="6"/>
      <c r="D103" s="6"/>
      <c r="E103" s="6"/>
      <c r="F103" s="6"/>
      <c r="G103" s="6"/>
      <c r="H103" s="6"/>
    </row>
    <row r="104" spans="3:8" ht="15" hidden="1" customHeight="1">
      <c r="C104" s="6"/>
      <c r="D104" s="6"/>
      <c r="E104" s="6"/>
      <c r="F104" s="6"/>
      <c r="G104" s="6"/>
      <c r="H104" s="6"/>
    </row>
    <row r="105" spans="3:8" ht="15" hidden="1" customHeight="1">
      <c r="C105" s="6"/>
      <c r="D105" s="6"/>
      <c r="E105" s="6"/>
      <c r="F105" s="6"/>
      <c r="G105" s="6"/>
      <c r="H105" s="6"/>
    </row>
    <row r="106" spans="3:8" ht="15" hidden="1" customHeight="1">
      <c r="C106" s="6"/>
      <c r="D106" s="6"/>
      <c r="E106" s="6"/>
      <c r="F106" s="6"/>
      <c r="G106" s="6"/>
      <c r="H106" s="6"/>
    </row>
    <row r="107" spans="3:8" ht="15" hidden="1" customHeight="1">
      <c r="C107" s="6"/>
      <c r="D107" s="6"/>
      <c r="E107" s="6"/>
      <c r="F107" s="6"/>
      <c r="G107" s="6"/>
      <c r="H107" s="6"/>
    </row>
    <row r="108" spans="3:8" ht="15" hidden="1" customHeight="1">
      <c r="C108" s="6"/>
      <c r="D108" s="6"/>
      <c r="E108" s="6"/>
      <c r="F108" s="6"/>
      <c r="G108" s="6"/>
      <c r="H108" s="6"/>
    </row>
    <row r="109" spans="3:8" ht="15" hidden="1" customHeight="1">
      <c r="C109" s="6"/>
      <c r="D109" s="6"/>
      <c r="E109" s="6"/>
      <c r="F109" s="6"/>
      <c r="G109" s="6"/>
      <c r="H109" s="6"/>
    </row>
    <row r="110" spans="3:8" ht="15" hidden="1" customHeight="1">
      <c r="C110" s="6"/>
      <c r="D110" s="6"/>
      <c r="E110" s="6"/>
      <c r="F110" s="6"/>
      <c r="G110" s="6"/>
      <c r="H110" s="6"/>
    </row>
    <row r="111" spans="3:8" ht="15" hidden="1" customHeight="1">
      <c r="C111" s="6"/>
      <c r="D111" s="6"/>
      <c r="E111" s="6"/>
      <c r="F111" s="6"/>
      <c r="G111" s="6"/>
      <c r="H111" s="6"/>
    </row>
    <row r="112" spans="3:8" ht="15" hidden="1" customHeight="1">
      <c r="C112" s="6"/>
      <c r="D112" s="6"/>
      <c r="E112" s="6"/>
      <c r="F112" s="6"/>
      <c r="G112" s="6"/>
      <c r="H112" s="6"/>
    </row>
    <row r="113" spans="3:8" ht="15" hidden="1" customHeight="1">
      <c r="C113" s="6"/>
      <c r="D113" s="6"/>
      <c r="E113" s="6"/>
      <c r="F113" s="6"/>
      <c r="G113" s="6"/>
      <c r="H113" s="6"/>
    </row>
    <row r="114" spans="3:8" ht="15" hidden="1" customHeight="1">
      <c r="C114" s="6"/>
      <c r="D114" s="6"/>
      <c r="E114" s="6"/>
      <c r="F114" s="6"/>
      <c r="G114" s="6"/>
      <c r="H114" s="6"/>
    </row>
    <row r="115" spans="3:8" ht="15" hidden="1" customHeight="1">
      <c r="C115" s="6"/>
      <c r="D115" s="6"/>
      <c r="E115" s="6"/>
      <c r="F115" s="6"/>
      <c r="G115" s="6"/>
      <c r="H115" s="6"/>
    </row>
    <row r="116" spans="3:8" ht="15" hidden="1" customHeight="1">
      <c r="C116" s="6"/>
      <c r="D116" s="6"/>
      <c r="E116" s="6"/>
      <c r="F116" s="6"/>
      <c r="G116" s="6"/>
      <c r="H116" s="6"/>
    </row>
    <row r="117" spans="3:8" ht="15" hidden="1" customHeight="1">
      <c r="C117" s="6"/>
      <c r="D117" s="6"/>
      <c r="E117" s="6"/>
      <c r="F117" s="6"/>
      <c r="G117" s="6"/>
      <c r="H117" s="6"/>
    </row>
    <row r="118" spans="3:8" ht="15" hidden="1" customHeight="1">
      <c r="C118" s="6"/>
      <c r="D118" s="6"/>
      <c r="E118" s="6"/>
      <c r="F118" s="6"/>
      <c r="G118" s="6"/>
      <c r="H118" s="6"/>
    </row>
    <row r="119" spans="3:8"/>
  </sheetData>
  <mergeCells count="4">
    <mergeCell ref="F60:H60"/>
    <mergeCell ref="B2:H3"/>
    <mergeCell ref="B55:C55"/>
    <mergeCell ref="D55:G55"/>
  </mergeCells>
  <dataValidations count="3">
    <dataValidation type="list" allowBlank="1" showInputMessage="1" showErrorMessage="1" sqref="G13:G51 G10" xr:uid="{00000000-0002-0000-0300-000000000000}">
      <formula1>"Action item will be deployed for complete project, Action item implementation will be discontinued"</formula1>
    </dataValidation>
    <dataValidation type="list" allowBlank="1" showInputMessage="1" showErrorMessage="1" sqref="D13:D51 D10" xr:uid="{00000000-0002-0000-0300-000001000000}">
      <formula1>"Corrective action,Preventive action"</formula1>
    </dataValidation>
    <dataValidation type="list" allowBlank="1" showInputMessage="1" showErrorMessage="1" sqref="F13:F51 F10" xr:uid="{00000000-0002-0000-0300-000002000000}">
      <formula1>"Improvement witnessed, No improvements seen, To be investigated further"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shunmugapriya</dc:creator>
  <cp:keywords/>
  <dc:description/>
  <cp:lastModifiedBy>Bagavathi Sankaranarayanan</cp:lastModifiedBy>
  <cp:revision/>
  <dcterms:created xsi:type="dcterms:W3CDTF">2002-01-26T03:59:38Z</dcterms:created>
  <dcterms:modified xsi:type="dcterms:W3CDTF">2024-10-30T05:18:58Z</dcterms:modified>
  <cp:category/>
  <cp:contentStatus/>
</cp:coreProperties>
</file>