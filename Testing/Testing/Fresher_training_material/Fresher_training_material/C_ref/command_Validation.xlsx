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1"/>
  <workbookPr/>
  <xr:revisionPtr revIDLastSave="0" documentId="8_{B82BF1FA-1775-46E8-8704-CB5598AD60D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0" i="1" l="1"/>
  <c r="AL9" i="1"/>
  <c r="AL8" i="1"/>
  <c r="AL7" i="1"/>
  <c r="AL6" i="1"/>
</calcChain>
</file>

<file path=xl/sharedStrings.xml><?xml version="1.0" encoding="utf-8"?>
<sst xmlns="http://schemas.openxmlformats.org/spreadsheetml/2006/main" count="377" uniqueCount="71">
  <si>
    <t>Command Validation</t>
  </si>
  <si>
    <r>
      <rPr>
        <b/>
        <u/>
        <sz val="11"/>
        <color rgb="FF000000"/>
        <rFont val="Calibri"/>
      </rPr>
      <t xml:space="preserve">Procedure 
</t>
    </r>
    <r>
      <rPr>
        <sz val="11"/>
        <color rgb="FF000000"/>
        <rFont val="Calibri"/>
      </rPr>
      <t xml:space="preserve">Step 1 : Flash the FPGA and BlackFin
Step 2 : Flash the DSP code 
Step 3 : Enable GUI
Step 4 : Play the stream.
Step 5 : Observe the DSP output
</t>
    </r>
    <r>
      <rPr>
        <b/>
        <sz val="11"/>
        <color rgb="FF008000"/>
        <rFont val="Calibri"/>
      </rPr>
      <t xml:space="preserve">   P</t>
    </r>
    <r>
      <rPr>
        <sz val="11"/>
        <color rgb="FF000000"/>
        <rFont val="Calibri"/>
      </rPr>
      <t xml:space="preserve"> - Audio output observed
</t>
    </r>
    <r>
      <rPr>
        <b/>
        <sz val="11"/>
        <color rgb="FF0000FF"/>
        <rFont val="Calibri"/>
      </rPr>
      <t xml:space="preserve">   P</t>
    </r>
    <r>
      <rPr>
        <sz val="11"/>
        <color rgb="FF000000"/>
        <rFont val="Calibri"/>
      </rPr>
      <t xml:space="preserve"> - No audio output observed</t>
    </r>
  </si>
  <si>
    <t>Totalcase</t>
  </si>
  <si>
    <t>PASS</t>
  </si>
  <si>
    <t>FAIL</t>
  </si>
  <si>
    <t>NT</t>
  </si>
  <si>
    <t>NA</t>
  </si>
  <si>
    <t>TC.No</t>
  </si>
  <si>
    <t>Stream Name</t>
  </si>
  <si>
    <t>Evaluation method</t>
  </si>
  <si>
    <t>Commands</t>
  </si>
  <si>
    <t>Expected Output channel configuration</t>
  </si>
  <si>
    <t>Status</t>
  </si>
  <si>
    <t>Remarks</t>
  </si>
  <si>
    <t>L</t>
  </si>
  <si>
    <t>R</t>
  </si>
  <si>
    <t>C</t>
  </si>
  <si>
    <t>LFE1</t>
  </si>
  <si>
    <t>Ls</t>
  </si>
  <si>
    <t>Rs</t>
  </si>
  <si>
    <t>Lsr</t>
  </si>
  <si>
    <t>Rsr</t>
  </si>
  <si>
    <t>Cs</t>
  </si>
  <si>
    <t>Lss</t>
  </si>
  <si>
    <t>Rss</t>
  </si>
  <si>
    <t>Lc</t>
  </si>
  <si>
    <t>Rc</t>
  </si>
  <si>
    <t>Lh</t>
  </si>
  <si>
    <t>Rh</t>
  </si>
  <si>
    <t>Ch</t>
  </si>
  <si>
    <t>LFE2</t>
  </si>
  <si>
    <t>Lw</t>
  </si>
  <si>
    <t>Rw</t>
  </si>
  <si>
    <t>Oh</t>
  </si>
  <si>
    <t>Lhs</t>
  </si>
  <si>
    <t>Rhs</t>
  </si>
  <si>
    <t>Chr</t>
  </si>
  <si>
    <t>Lhr</t>
  </si>
  <si>
    <t>Rhr</t>
  </si>
  <si>
    <t>Clf</t>
  </si>
  <si>
    <t>Llf</t>
  </si>
  <si>
    <t>Rlf</t>
  </si>
  <si>
    <t>Ltf</t>
  </si>
  <si>
    <t>Rtf</t>
  </si>
  <si>
    <t>Ltr</t>
  </si>
  <si>
    <t>Rtr</t>
  </si>
  <si>
    <t>setdialogcontrol</t>
  </si>
  <si>
    <t>UF01M-UBD2-ChID-4824LL-11d1fhrh-LL-5Dialog.dtshd</t>
  </si>
  <si>
    <t>Listening</t>
  </si>
  <si>
    <t>-setdialogcontrol=3</t>
  </si>
  <si>
    <t>P</t>
  </si>
  <si>
    <t>DecodeOnlyCoreSubStream</t>
  </si>
  <si>
    <t>UA31M-UBD2-StressMIPS-9624LL-11d1fhCfh2rhOh.dtshd</t>
  </si>
  <si>
    <t xml:space="preserve"> -analogcomp -DecodeOnlyCoreSubStream</t>
  </si>
  <si>
    <t>No Dial Norm</t>
  </si>
  <si>
    <t>192LL71-XLLOnly_DialNorm28.dtshd</t>
  </si>
  <si>
    <t>-analogcomp --NoDialNorm --disabledirectmode</t>
  </si>
  <si>
    <t>SetAnalogCompMaxUserGain</t>
  </si>
  <si>
    <t>48-1509-32tone-71.dtshd</t>
  </si>
  <si>
    <t>-analogcomp -SetAnalogCompMaxUserGain=3 --disabledirectmode</t>
  </si>
  <si>
    <t>drcpercent</t>
  </si>
  <si>
    <t>UG52M-UBD1-AmpSwp-4824-3429k-DRCMS-11d1fhrh.dtshd</t>
  </si>
  <si>
    <t>-drcpercent=10</t>
  </si>
  <si>
    <t>-drcpercent=66</t>
  </si>
  <si>
    <t>parmafrontsplit2bottom</t>
  </si>
  <si>
    <t>UBD01-parma_chid-4824-3429k-11d0fhrh.dtshd</t>
  </si>
  <si>
    <t>--SpkrOut199787 -parmafrontsplit2bottom'1 -enabledirectmode</t>
  </si>
  <si>
    <t>--SpkrOut199787 -parmafrontsplit2bottom'1 -disabledirectmode</t>
  </si>
  <si>
    <t>NoBlindParmaForStreamWithObj</t>
  </si>
  <si>
    <t xml:space="preserve">UBD02-chid-4824-1509k-70fh-obj2.dtshd </t>
  </si>
  <si>
    <t>-disabledirectmode --SpkrOut32807 --NoParmaForStreamWithObj'1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</si>
</sst>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u/>
      <sz val="11"/>
      <color rgb="FF000000"/>
      <name val="Calibri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8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A8A12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1"/>
      <color rgb="FF0740EB"/>
      <name val="Calibri"/>
      <family val="2"/>
      <charset val="1"/>
    </font>
    <font>
      <sz val="11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rgb="FF0A8A12"/>
      <name val="Calibri"/>
      <charset val="1"/>
    </font>
    <font>
      <b/>
      <sz val="11"/>
      <color rgb="FF0740EB"/>
      <name val="Calibri"/>
      <charset val="1"/>
    </font>
    <font>
      <sz val="11"/>
      <color rgb="FFFF0000"/>
      <name val="Calibri"/>
      <family val="2"/>
      <charset val="1"/>
    </font>
    <font>
      <b/>
      <u/>
      <sz val="11"/>
      <color rgb="FF000000"/>
      <name val="Calibri"/>
    </font>
    <font>
      <sz val="11"/>
      <color rgb="FF000000"/>
      <name val="Calibri"/>
    </font>
    <font>
      <b/>
      <sz val="11"/>
      <color rgb="FF008000"/>
      <name val="Calibri"/>
    </font>
    <font>
      <b/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theme="7" tint="0.39979247413556324"/>
        <bgColor rgb="FFF8CBAD"/>
      </patternFill>
    </fill>
    <fill>
      <patternFill patternType="solid">
        <fgColor rgb="FFFFFFFF"/>
        <bgColor rgb="FFF2F2F2"/>
      </patternFill>
    </fill>
    <fill>
      <patternFill patternType="solid">
        <fgColor rgb="FF51EDED"/>
        <bgColor rgb="FF00FBFF"/>
      </patternFill>
    </fill>
    <fill>
      <patternFill patternType="solid">
        <fgColor rgb="FFFACAEA"/>
        <bgColor rgb="FFFFC7CE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4" fillId="3" borderId="1" xfId="1" applyNumberFormat="1" applyFont="1" applyFill="1" applyBorder="1" applyAlignment="1">
      <alignment horizontal="left" vertical="top" wrapText="1"/>
    </xf>
    <xf numFmtId="49" fontId="5" fillId="3" borderId="0" xfId="1" applyNumberFormat="1" applyFont="1" applyFill="1" applyAlignment="1">
      <alignment horizontal="left" vertical="top"/>
    </xf>
    <xf numFmtId="49" fontId="6" fillId="3" borderId="0" xfId="1" applyNumberFormat="1" applyFont="1" applyFill="1" applyAlignment="1">
      <alignment vertical="top"/>
    </xf>
    <xf numFmtId="0" fontId="7" fillId="0" borderId="0" xfId="2" applyFont="1" applyAlignment="1">
      <alignment vertical="center"/>
    </xf>
    <xf numFmtId="0" fontId="7" fillId="3" borderId="0" xfId="3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9" fillId="3" borderId="0" xfId="3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13" fillId="3" borderId="0" xfId="1" applyNumberFormat="1" applyFont="1" applyFill="1" applyAlignment="1">
      <alignment vertical="top"/>
    </xf>
    <xf numFmtId="0" fontId="8" fillId="3" borderId="0" xfId="3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15" fillId="0" borderId="10" xfId="4" applyFont="1" applyBorder="1" applyAlignment="1">
      <alignment horizontal="center" vertical="center"/>
    </xf>
    <xf numFmtId="0" fontId="16" fillId="0" borderId="10" xfId="4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6" fillId="0" borderId="10" xfId="5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17" fillId="0" borderId="5" xfId="0" applyFont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15" fillId="0" borderId="14" xfId="4" applyFont="1" applyBorder="1" applyAlignment="1">
      <alignment horizontal="center" vertical="center"/>
    </xf>
    <xf numFmtId="0" fontId="16" fillId="0" borderId="14" xfId="4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18" fillId="3" borderId="1" xfId="1" applyNumberFormat="1" applyFont="1" applyFill="1" applyBorder="1" applyAlignment="1">
      <alignment horizontal="left" vertical="top" wrapText="1"/>
    </xf>
  </cellXfs>
  <cellStyles count="6">
    <cellStyle name="20% - アクセント 6 3 3" xfId="4" xr:uid="{E3BD69D6-9125-4E6B-AD7F-88A4C6D9AD72}"/>
    <cellStyle name="Excel Built-in Normal 1 2" xfId="3" xr:uid="{4A2AE5EB-82C2-4DA2-B210-D302656AFF7B}"/>
    <cellStyle name="Excel Built-in Normal 2" xfId="2" xr:uid="{4862C921-0147-409E-B298-7AE1589D8040}"/>
    <cellStyle name="Normal" xfId="0" builtinId="0"/>
    <cellStyle name="Normal 2 7" xfId="5" xr:uid="{0333D714-923A-44D6-8ECF-195213DE8D53}"/>
    <cellStyle name="Normal 5" xfId="1" xr:uid="{8B8E3BB2-570E-43FD-90A1-7D4E35C2DC2B}"/>
  </cellStyles>
  <dxfs count="18">
    <dxf>
      <font>
        <b/>
        <i val="0"/>
        <color rgb="FFED2C1A"/>
      </font>
    </dxf>
    <dxf>
      <font>
        <b/>
        <i val="0"/>
        <color rgb="FF000000"/>
      </font>
    </dxf>
    <dxf>
      <font>
        <b/>
        <i val="0"/>
        <color rgb="FF5D00FF"/>
      </font>
    </dxf>
    <dxf>
      <font>
        <b/>
        <i val="0"/>
        <color rgb="FF0A8A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9900"/>
      </font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57150</xdr:rowOff>
    </xdr:from>
    <xdr:to>
      <xdr:col>2</xdr:col>
      <xdr:colOff>57150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6741F8-5619-42EE-B699-59081A0629A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14375" y="247650"/>
          <a:ext cx="904875" cy="27622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M32"/>
  <sheetViews>
    <sheetView showGridLines="0" tabSelected="1" topLeftCell="A19" workbookViewId="0">
      <selection activeCell="A26" sqref="A26:XFD27"/>
    </sheetView>
  </sheetViews>
  <sheetFormatPr defaultRowHeight="15"/>
  <cols>
    <col min="2" max="2" width="14.28515625" customWidth="1"/>
    <col min="3" max="3" width="60.140625" customWidth="1"/>
    <col min="4" max="4" width="14.28515625" customWidth="1"/>
    <col min="5" max="5" width="60.42578125" customWidth="1"/>
    <col min="6" max="37" width="9.5703125" customWidth="1"/>
    <col min="38" max="39" width="14.28515625" customWidth="1"/>
  </cols>
  <sheetData>
    <row r="2" spans="2:39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2:39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2:39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2:39">
      <c r="B5" s="47" t="s">
        <v>1</v>
      </c>
      <c r="C5" s="4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7"/>
      <c r="AL5" s="7"/>
      <c r="AM5" s="8"/>
    </row>
    <row r="6" spans="2:39">
      <c r="B6" s="4"/>
      <c r="C6" s="4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9" t="s">
        <v>2</v>
      </c>
      <c r="AK6" s="9"/>
      <c r="AL6" s="10">
        <f>MAX(B:B)</f>
        <v>9</v>
      </c>
      <c r="AM6" s="11"/>
    </row>
    <row r="7" spans="2:39">
      <c r="B7" s="4"/>
      <c r="C7" s="4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12" t="s">
        <v>3</v>
      </c>
      <c r="AK7" s="12"/>
      <c r="AL7" s="13">
        <f>COUNTIF(AL17:AL108,"PASS")</f>
        <v>0</v>
      </c>
      <c r="AM7" s="14"/>
    </row>
    <row r="8" spans="2:39">
      <c r="B8" s="4"/>
      <c r="C8" s="4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15" t="s">
        <v>4</v>
      </c>
      <c r="AK8" s="15"/>
      <c r="AL8" s="13">
        <f>COUNTIF(AL17:AL108,"FAIL")</f>
        <v>0</v>
      </c>
      <c r="AM8" s="16"/>
    </row>
    <row r="9" spans="2:39">
      <c r="B9" s="4"/>
      <c r="C9" s="4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17" t="s">
        <v>5</v>
      </c>
      <c r="AK9" s="17"/>
      <c r="AL9" s="13">
        <f>COUNTIF(AL17:AL108,"NT")</f>
        <v>9</v>
      </c>
      <c r="AM9" s="16"/>
    </row>
    <row r="10" spans="2:39">
      <c r="B10" s="4"/>
      <c r="C10" s="4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18" t="s">
        <v>6</v>
      </c>
      <c r="AK10" s="18"/>
      <c r="AL10" s="19">
        <f>COUNTIF(AL17:AL108,"NA")</f>
        <v>0</v>
      </c>
      <c r="AM10" s="16"/>
    </row>
    <row r="11" spans="2:39">
      <c r="B11" s="4"/>
      <c r="C11" s="4"/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20"/>
      <c r="AK11" s="21"/>
      <c r="AL11" s="21"/>
      <c r="AM11" s="16"/>
    </row>
    <row r="12" spans="2:39">
      <c r="B12" s="4"/>
      <c r="C12" s="4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20"/>
      <c r="AK12" s="21"/>
      <c r="AL12" s="21"/>
      <c r="AM12" s="16"/>
    </row>
    <row r="13" spans="2:39">
      <c r="B13" s="4"/>
      <c r="C13" s="4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20"/>
      <c r="AK13" s="21"/>
      <c r="AL13" s="21"/>
      <c r="AM13" s="16"/>
    </row>
    <row r="14" spans="2:39"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</row>
    <row r="15" spans="2:39">
      <c r="B15" s="24" t="s">
        <v>7</v>
      </c>
      <c r="C15" s="25" t="s">
        <v>8</v>
      </c>
      <c r="D15" s="25" t="s">
        <v>9</v>
      </c>
      <c r="E15" s="25" t="s">
        <v>10</v>
      </c>
      <c r="F15" s="25" t="s">
        <v>11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 t="s">
        <v>12</v>
      </c>
      <c r="AM15" s="26" t="s">
        <v>13</v>
      </c>
    </row>
    <row r="16" spans="2:39">
      <c r="B16" s="24"/>
      <c r="C16" s="25"/>
      <c r="D16" s="25"/>
      <c r="E16" s="25"/>
      <c r="F16" s="27" t="s">
        <v>14</v>
      </c>
      <c r="G16" s="27" t="s">
        <v>15</v>
      </c>
      <c r="H16" s="27" t="s">
        <v>16</v>
      </c>
      <c r="I16" s="27" t="s">
        <v>17</v>
      </c>
      <c r="J16" s="27" t="s">
        <v>18</v>
      </c>
      <c r="K16" s="27" t="s">
        <v>19</v>
      </c>
      <c r="L16" s="27" t="s">
        <v>20</v>
      </c>
      <c r="M16" s="27" t="s">
        <v>21</v>
      </c>
      <c r="N16" s="27" t="s">
        <v>22</v>
      </c>
      <c r="O16" s="27" t="s">
        <v>23</v>
      </c>
      <c r="P16" s="27" t="s">
        <v>24</v>
      </c>
      <c r="Q16" s="27" t="s">
        <v>25</v>
      </c>
      <c r="R16" s="27" t="s">
        <v>26</v>
      </c>
      <c r="S16" s="27" t="s">
        <v>27</v>
      </c>
      <c r="T16" s="27" t="s">
        <v>28</v>
      </c>
      <c r="U16" s="27" t="s">
        <v>29</v>
      </c>
      <c r="V16" s="27" t="s">
        <v>30</v>
      </c>
      <c r="W16" s="27" t="s">
        <v>31</v>
      </c>
      <c r="X16" s="27" t="s">
        <v>32</v>
      </c>
      <c r="Y16" s="27" t="s">
        <v>33</v>
      </c>
      <c r="Z16" s="27" t="s">
        <v>34</v>
      </c>
      <c r="AA16" s="27" t="s">
        <v>35</v>
      </c>
      <c r="AB16" s="27" t="s">
        <v>36</v>
      </c>
      <c r="AC16" s="27" t="s">
        <v>37</v>
      </c>
      <c r="AD16" s="27" t="s">
        <v>38</v>
      </c>
      <c r="AE16" s="27" t="s">
        <v>39</v>
      </c>
      <c r="AF16" s="27" t="s">
        <v>40</v>
      </c>
      <c r="AG16" s="27" t="s">
        <v>41</v>
      </c>
      <c r="AH16" s="27" t="s">
        <v>42</v>
      </c>
      <c r="AI16" s="27" t="s">
        <v>43</v>
      </c>
      <c r="AJ16" s="27" t="s">
        <v>44</v>
      </c>
      <c r="AK16" s="27" t="s">
        <v>45</v>
      </c>
      <c r="AL16" s="25"/>
      <c r="AM16" s="26"/>
    </row>
    <row r="17" spans="2:39">
      <c r="B17" s="28" t="s">
        <v>46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2:39">
      <c r="B18" s="29">
        <v>1</v>
      </c>
      <c r="C18" s="30" t="s">
        <v>47</v>
      </c>
      <c r="D18" s="30" t="s">
        <v>48</v>
      </c>
      <c r="E18" s="30" t="s">
        <v>49</v>
      </c>
      <c r="F18" s="31" t="s">
        <v>50</v>
      </c>
      <c r="G18" s="31" t="s">
        <v>50</v>
      </c>
      <c r="H18" s="31" t="s">
        <v>50</v>
      </c>
      <c r="I18" s="31" t="s">
        <v>50</v>
      </c>
      <c r="J18" s="32" t="s">
        <v>50</v>
      </c>
      <c r="K18" s="32" t="s">
        <v>50</v>
      </c>
      <c r="L18" s="31" t="s">
        <v>50</v>
      </c>
      <c r="M18" s="31" t="s">
        <v>50</v>
      </c>
      <c r="N18" s="32" t="s">
        <v>50</v>
      </c>
      <c r="O18" s="31" t="s">
        <v>50</v>
      </c>
      <c r="P18" s="31" t="s">
        <v>50</v>
      </c>
      <c r="Q18" s="32" t="s">
        <v>50</v>
      </c>
      <c r="R18" s="32" t="s">
        <v>50</v>
      </c>
      <c r="S18" s="31" t="s">
        <v>50</v>
      </c>
      <c r="T18" s="31" t="s">
        <v>50</v>
      </c>
      <c r="U18" s="32" t="s">
        <v>50</v>
      </c>
      <c r="V18" s="32" t="s">
        <v>50</v>
      </c>
      <c r="W18" s="32" t="s">
        <v>50</v>
      </c>
      <c r="X18" s="31" t="s">
        <v>50</v>
      </c>
      <c r="Y18" s="32" t="s">
        <v>50</v>
      </c>
      <c r="Z18" s="32" t="s">
        <v>50</v>
      </c>
      <c r="AA18" s="31" t="s">
        <v>50</v>
      </c>
      <c r="AB18" s="32" t="s">
        <v>50</v>
      </c>
      <c r="AC18" s="31" t="s">
        <v>50</v>
      </c>
      <c r="AD18" s="31" t="s">
        <v>50</v>
      </c>
      <c r="AE18" s="32" t="s">
        <v>50</v>
      </c>
      <c r="AF18" s="32" t="s">
        <v>50</v>
      </c>
      <c r="AG18" s="32" t="s">
        <v>50</v>
      </c>
      <c r="AH18" s="32" t="s">
        <v>50</v>
      </c>
      <c r="AI18" s="32" t="s">
        <v>50</v>
      </c>
      <c r="AJ18" s="32" t="s">
        <v>50</v>
      </c>
      <c r="AK18" s="32" t="s">
        <v>50</v>
      </c>
      <c r="AL18" s="33" t="s">
        <v>5</v>
      </c>
      <c r="AM18" s="34"/>
    </row>
    <row r="19" spans="2:39">
      <c r="B19" s="28" t="s">
        <v>51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  <row r="20" spans="2:39" ht="40.5" customHeight="1">
      <c r="B20" s="29">
        <v>2</v>
      </c>
      <c r="C20" s="35" t="s">
        <v>52</v>
      </c>
      <c r="D20" s="30" t="s">
        <v>48</v>
      </c>
      <c r="E20" s="30" t="s">
        <v>53</v>
      </c>
      <c r="F20" s="31" t="s">
        <v>50</v>
      </c>
      <c r="G20" s="31" t="s">
        <v>50</v>
      </c>
      <c r="H20" s="31" t="s">
        <v>50</v>
      </c>
      <c r="I20" s="31" t="s">
        <v>50</v>
      </c>
      <c r="J20" s="32" t="s">
        <v>50</v>
      </c>
      <c r="K20" s="32" t="s">
        <v>50</v>
      </c>
      <c r="L20" s="31" t="s">
        <v>50</v>
      </c>
      <c r="M20" s="31" t="s">
        <v>50</v>
      </c>
      <c r="N20" s="32" t="s">
        <v>50</v>
      </c>
      <c r="O20" s="31" t="s">
        <v>50</v>
      </c>
      <c r="P20" s="31" t="s">
        <v>50</v>
      </c>
      <c r="Q20" s="32" t="s">
        <v>50</v>
      </c>
      <c r="R20" s="32" t="s">
        <v>50</v>
      </c>
      <c r="S20" s="31" t="s">
        <v>50</v>
      </c>
      <c r="T20" s="31" t="s">
        <v>50</v>
      </c>
      <c r="U20" s="32" t="s">
        <v>50</v>
      </c>
      <c r="V20" s="32" t="s">
        <v>50</v>
      </c>
      <c r="W20" s="31" t="s">
        <v>50</v>
      </c>
      <c r="X20" s="31" t="s">
        <v>50</v>
      </c>
      <c r="Y20" s="32" t="s">
        <v>50</v>
      </c>
      <c r="Z20" s="31" t="s">
        <v>50</v>
      </c>
      <c r="AA20" s="31" t="s">
        <v>50</v>
      </c>
      <c r="AB20" s="32" t="s">
        <v>50</v>
      </c>
      <c r="AC20" s="31" t="s">
        <v>50</v>
      </c>
      <c r="AD20" s="31" t="s">
        <v>50</v>
      </c>
      <c r="AE20" s="32" t="s">
        <v>50</v>
      </c>
      <c r="AF20" s="32" t="s">
        <v>50</v>
      </c>
      <c r="AG20" s="32" t="s">
        <v>50</v>
      </c>
      <c r="AH20" s="32" t="s">
        <v>50</v>
      </c>
      <c r="AI20" s="32" t="s">
        <v>50</v>
      </c>
      <c r="AJ20" s="32" t="s">
        <v>50</v>
      </c>
      <c r="AK20" s="32" t="s">
        <v>50</v>
      </c>
      <c r="AL20" s="33" t="s">
        <v>5</v>
      </c>
      <c r="AM20" s="34"/>
    </row>
    <row r="21" spans="2:39">
      <c r="B21" s="28" t="s">
        <v>54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</row>
    <row r="22" spans="2:39" ht="30.75" customHeight="1">
      <c r="B22" s="29">
        <v>3</v>
      </c>
      <c r="C22" s="35" t="s">
        <v>55</v>
      </c>
      <c r="D22" s="30" t="s">
        <v>48</v>
      </c>
      <c r="E22" s="30" t="s">
        <v>56</v>
      </c>
      <c r="F22" s="31" t="s">
        <v>50</v>
      </c>
      <c r="G22" s="31" t="s">
        <v>50</v>
      </c>
      <c r="H22" s="31" t="s">
        <v>50</v>
      </c>
      <c r="I22" s="32" t="s">
        <v>50</v>
      </c>
      <c r="J22" s="32" t="s">
        <v>50</v>
      </c>
      <c r="K22" s="32" t="s">
        <v>50</v>
      </c>
      <c r="L22" s="31" t="s">
        <v>50</v>
      </c>
      <c r="M22" s="31" t="s">
        <v>50</v>
      </c>
      <c r="N22" s="32" t="s">
        <v>50</v>
      </c>
      <c r="O22" s="31" t="s">
        <v>50</v>
      </c>
      <c r="P22" s="31" t="s">
        <v>50</v>
      </c>
      <c r="Q22" s="32" t="s">
        <v>50</v>
      </c>
      <c r="R22" s="32" t="s">
        <v>50</v>
      </c>
      <c r="S22" s="32" t="s">
        <v>50</v>
      </c>
      <c r="T22" s="32" t="s">
        <v>50</v>
      </c>
      <c r="U22" s="32" t="s">
        <v>50</v>
      </c>
      <c r="V22" s="32" t="s">
        <v>50</v>
      </c>
      <c r="W22" s="32" t="s">
        <v>50</v>
      </c>
      <c r="X22" s="32" t="s">
        <v>50</v>
      </c>
      <c r="Y22" s="32" t="s">
        <v>50</v>
      </c>
      <c r="Z22" s="32" t="s">
        <v>50</v>
      </c>
      <c r="AA22" s="32" t="s">
        <v>50</v>
      </c>
      <c r="AB22" s="32" t="s">
        <v>50</v>
      </c>
      <c r="AC22" s="32" t="s">
        <v>50</v>
      </c>
      <c r="AD22" s="32" t="s">
        <v>50</v>
      </c>
      <c r="AE22" s="32" t="s">
        <v>50</v>
      </c>
      <c r="AF22" s="32" t="s">
        <v>50</v>
      </c>
      <c r="AG22" s="32" t="s">
        <v>50</v>
      </c>
      <c r="AH22" s="32" t="s">
        <v>50</v>
      </c>
      <c r="AI22" s="32" t="s">
        <v>50</v>
      </c>
      <c r="AJ22" s="32" t="s">
        <v>50</v>
      </c>
      <c r="AK22" s="32" t="s">
        <v>50</v>
      </c>
      <c r="AL22" s="33" t="s">
        <v>5</v>
      </c>
      <c r="AM22" s="36"/>
    </row>
    <row r="23" spans="2:39">
      <c r="B23" s="28" t="s">
        <v>57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</row>
    <row r="24" spans="2:39" ht="27" customHeight="1">
      <c r="B24" s="29">
        <v>4</v>
      </c>
      <c r="C24" s="35" t="s">
        <v>58</v>
      </c>
      <c r="D24" s="30" t="s">
        <v>48</v>
      </c>
      <c r="E24" s="30" t="s">
        <v>59</v>
      </c>
      <c r="F24" s="31" t="s">
        <v>50</v>
      </c>
      <c r="G24" s="31" t="s">
        <v>50</v>
      </c>
      <c r="H24" s="31" t="s">
        <v>50</v>
      </c>
      <c r="I24" s="31" t="s">
        <v>50</v>
      </c>
      <c r="J24" s="32" t="s">
        <v>50</v>
      </c>
      <c r="K24" s="32" t="s">
        <v>50</v>
      </c>
      <c r="L24" s="31" t="s">
        <v>50</v>
      </c>
      <c r="M24" s="31" t="s">
        <v>50</v>
      </c>
      <c r="N24" s="32" t="s">
        <v>50</v>
      </c>
      <c r="O24" s="31" t="s">
        <v>50</v>
      </c>
      <c r="P24" s="31" t="s">
        <v>50</v>
      </c>
      <c r="Q24" s="32" t="s">
        <v>50</v>
      </c>
      <c r="R24" s="32" t="s">
        <v>50</v>
      </c>
      <c r="S24" s="31" t="s">
        <v>50</v>
      </c>
      <c r="T24" s="31" t="s">
        <v>50</v>
      </c>
      <c r="U24" s="32" t="s">
        <v>50</v>
      </c>
      <c r="V24" s="32" t="s">
        <v>50</v>
      </c>
      <c r="W24" s="31" t="s">
        <v>50</v>
      </c>
      <c r="X24" s="31" t="s">
        <v>50</v>
      </c>
      <c r="Y24" s="32" t="s">
        <v>50</v>
      </c>
      <c r="Z24" s="31" t="s">
        <v>50</v>
      </c>
      <c r="AA24" s="31" t="s">
        <v>50</v>
      </c>
      <c r="AB24" s="32" t="s">
        <v>50</v>
      </c>
      <c r="AC24" s="31" t="s">
        <v>50</v>
      </c>
      <c r="AD24" s="31" t="s">
        <v>50</v>
      </c>
      <c r="AE24" s="32" t="s">
        <v>50</v>
      </c>
      <c r="AF24" s="32" t="s">
        <v>50</v>
      </c>
      <c r="AG24" s="32" t="s">
        <v>50</v>
      </c>
      <c r="AH24" s="32" t="s">
        <v>50</v>
      </c>
      <c r="AI24" s="32" t="s">
        <v>50</v>
      </c>
      <c r="AJ24" s="32" t="s">
        <v>50</v>
      </c>
      <c r="AK24" s="32" t="s">
        <v>50</v>
      </c>
      <c r="AL24" s="33" t="s">
        <v>5</v>
      </c>
      <c r="AM24" s="34"/>
    </row>
    <row r="25" spans="2:39">
      <c r="B25" s="28" t="s">
        <v>60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</row>
    <row r="26" spans="2:39" ht="21.75" customHeight="1">
      <c r="B26" s="29">
        <v>5</v>
      </c>
      <c r="C26" s="37" t="s">
        <v>61</v>
      </c>
      <c r="D26" s="30" t="s">
        <v>48</v>
      </c>
      <c r="E26" s="38" t="s">
        <v>62</v>
      </c>
      <c r="F26" s="31" t="s">
        <v>50</v>
      </c>
      <c r="G26" s="31" t="s">
        <v>50</v>
      </c>
      <c r="H26" s="31" t="s">
        <v>50</v>
      </c>
      <c r="I26" s="31" t="s">
        <v>50</v>
      </c>
      <c r="J26" s="32" t="s">
        <v>50</v>
      </c>
      <c r="K26" s="32" t="s">
        <v>50</v>
      </c>
      <c r="L26" s="31" t="s">
        <v>50</v>
      </c>
      <c r="M26" s="31" t="s">
        <v>50</v>
      </c>
      <c r="N26" s="32" t="s">
        <v>50</v>
      </c>
      <c r="O26" s="31" t="s">
        <v>50</v>
      </c>
      <c r="P26" s="31" t="s">
        <v>50</v>
      </c>
      <c r="Q26" s="32" t="s">
        <v>50</v>
      </c>
      <c r="R26" s="32" t="s">
        <v>50</v>
      </c>
      <c r="S26" s="31" t="s">
        <v>50</v>
      </c>
      <c r="T26" s="31" t="s">
        <v>50</v>
      </c>
      <c r="U26" s="32" t="s">
        <v>50</v>
      </c>
      <c r="V26" s="32" t="s">
        <v>50</v>
      </c>
      <c r="W26" s="31" t="s">
        <v>50</v>
      </c>
      <c r="X26" s="31" t="s">
        <v>50</v>
      </c>
      <c r="Y26" s="32" t="s">
        <v>50</v>
      </c>
      <c r="Z26" s="31" t="s">
        <v>50</v>
      </c>
      <c r="AA26" s="31" t="s">
        <v>50</v>
      </c>
      <c r="AB26" s="32" t="s">
        <v>50</v>
      </c>
      <c r="AC26" s="31" t="s">
        <v>50</v>
      </c>
      <c r="AD26" s="31" t="s">
        <v>50</v>
      </c>
      <c r="AE26" s="32" t="s">
        <v>50</v>
      </c>
      <c r="AF26" s="32" t="s">
        <v>50</v>
      </c>
      <c r="AG26" s="32" t="s">
        <v>50</v>
      </c>
      <c r="AH26" s="32" t="s">
        <v>50</v>
      </c>
      <c r="AI26" s="32" t="s">
        <v>50</v>
      </c>
      <c r="AJ26" s="32" t="s">
        <v>50</v>
      </c>
      <c r="AK26" s="32" t="s">
        <v>50</v>
      </c>
      <c r="AL26" s="33" t="s">
        <v>5</v>
      </c>
      <c r="AM26" s="34"/>
    </row>
    <row r="27" spans="2:39" ht="21.75" customHeight="1">
      <c r="B27" s="39">
        <v>6</v>
      </c>
      <c r="C27" s="37" t="s">
        <v>61</v>
      </c>
      <c r="D27" s="30" t="s">
        <v>48</v>
      </c>
      <c r="E27" s="38" t="s">
        <v>63</v>
      </c>
      <c r="F27" s="31" t="s">
        <v>50</v>
      </c>
      <c r="G27" s="31" t="s">
        <v>50</v>
      </c>
      <c r="H27" s="31" t="s">
        <v>50</v>
      </c>
      <c r="I27" s="31" t="s">
        <v>50</v>
      </c>
      <c r="J27" s="32" t="s">
        <v>50</v>
      </c>
      <c r="K27" s="32" t="s">
        <v>50</v>
      </c>
      <c r="L27" s="31" t="s">
        <v>50</v>
      </c>
      <c r="M27" s="31" t="s">
        <v>50</v>
      </c>
      <c r="N27" s="32" t="s">
        <v>50</v>
      </c>
      <c r="O27" s="31" t="s">
        <v>50</v>
      </c>
      <c r="P27" s="31" t="s">
        <v>50</v>
      </c>
      <c r="Q27" s="32" t="s">
        <v>50</v>
      </c>
      <c r="R27" s="32" t="s">
        <v>50</v>
      </c>
      <c r="S27" s="31" t="s">
        <v>50</v>
      </c>
      <c r="T27" s="31" t="s">
        <v>50</v>
      </c>
      <c r="U27" s="32" t="s">
        <v>50</v>
      </c>
      <c r="V27" s="32" t="s">
        <v>50</v>
      </c>
      <c r="W27" s="31" t="s">
        <v>50</v>
      </c>
      <c r="X27" s="31" t="s">
        <v>50</v>
      </c>
      <c r="Y27" s="32" t="s">
        <v>50</v>
      </c>
      <c r="Z27" s="31" t="s">
        <v>50</v>
      </c>
      <c r="AA27" s="31" t="s">
        <v>50</v>
      </c>
      <c r="AB27" s="32" t="s">
        <v>50</v>
      </c>
      <c r="AC27" s="31" t="s">
        <v>50</v>
      </c>
      <c r="AD27" s="31" t="s">
        <v>50</v>
      </c>
      <c r="AE27" s="32" t="s">
        <v>50</v>
      </c>
      <c r="AF27" s="32" t="s">
        <v>50</v>
      </c>
      <c r="AG27" s="32" t="s">
        <v>50</v>
      </c>
      <c r="AH27" s="32" t="s">
        <v>50</v>
      </c>
      <c r="AI27" s="32" t="s">
        <v>50</v>
      </c>
      <c r="AJ27" s="32" t="s">
        <v>50</v>
      </c>
      <c r="AK27" s="32" t="s">
        <v>50</v>
      </c>
      <c r="AL27" s="33" t="s">
        <v>5</v>
      </c>
      <c r="AM27" s="34"/>
    </row>
    <row r="28" spans="2:39">
      <c r="B28" s="28" t="s">
        <v>64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</row>
    <row r="29" spans="2:39">
      <c r="B29" s="39">
        <v>7</v>
      </c>
      <c r="C29" s="30" t="s">
        <v>65</v>
      </c>
      <c r="D29" s="30" t="s">
        <v>48</v>
      </c>
      <c r="E29" s="30" t="s">
        <v>66</v>
      </c>
      <c r="F29" s="31" t="s">
        <v>50</v>
      </c>
      <c r="G29" s="31" t="s">
        <v>50</v>
      </c>
      <c r="H29" s="31" t="s">
        <v>50</v>
      </c>
      <c r="I29" s="32" t="s">
        <v>50</v>
      </c>
      <c r="J29" s="32" t="s">
        <v>50</v>
      </c>
      <c r="K29" s="32" t="s">
        <v>50</v>
      </c>
      <c r="L29" s="31" t="s">
        <v>50</v>
      </c>
      <c r="M29" s="31" t="s">
        <v>50</v>
      </c>
      <c r="N29" s="32" t="s">
        <v>50</v>
      </c>
      <c r="O29" s="31" t="s">
        <v>50</v>
      </c>
      <c r="P29" s="31" t="s">
        <v>50</v>
      </c>
      <c r="Q29" s="32" t="s">
        <v>50</v>
      </c>
      <c r="R29" s="32" t="s">
        <v>50</v>
      </c>
      <c r="S29" s="31" t="s">
        <v>50</v>
      </c>
      <c r="T29" s="31" t="s">
        <v>50</v>
      </c>
      <c r="U29" s="32" t="s">
        <v>50</v>
      </c>
      <c r="V29" s="32" t="s">
        <v>50</v>
      </c>
      <c r="W29" s="31" t="s">
        <v>50</v>
      </c>
      <c r="X29" s="31" t="s">
        <v>50</v>
      </c>
      <c r="Y29" s="32" t="s">
        <v>50</v>
      </c>
      <c r="Z29" s="32" t="s">
        <v>50</v>
      </c>
      <c r="AA29" s="32" t="s">
        <v>50</v>
      </c>
      <c r="AB29" s="32" t="s">
        <v>50</v>
      </c>
      <c r="AC29" s="32" t="s">
        <v>50</v>
      </c>
      <c r="AD29" s="32" t="s">
        <v>50</v>
      </c>
      <c r="AE29" s="31" t="s">
        <v>50</v>
      </c>
      <c r="AF29" s="31" t="s">
        <v>50</v>
      </c>
      <c r="AG29" s="31" t="s">
        <v>50</v>
      </c>
      <c r="AH29" s="32" t="s">
        <v>50</v>
      </c>
      <c r="AI29" s="32" t="s">
        <v>50</v>
      </c>
      <c r="AJ29" s="32" t="s">
        <v>50</v>
      </c>
      <c r="AK29" s="32" t="s">
        <v>50</v>
      </c>
      <c r="AL29" s="33" t="s">
        <v>5</v>
      </c>
      <c r="AM29" s="40"/>
    </row>
    <row r="30" spans="2:39">
      <c r="B30" s="39">
        <v>8</v>
      </c>
      <c r="C30" s="30" t="s">
        <v>65</v>
      </c>
      <c r="D30" s="30" t="s">
        <v>48</v>
      </c>
      <c r="E30" s="30" t="s">
        <v>67</v>
      </c>
      <c r="F30" s="31" t="s">
        <v>50</v>
      </c>
      <c r="G30" s="31" t="s">
        <v>50</v>
      </c>
      <c r="H30" s="31" t="s">
        <v>50</v>
      </c>
      <c r="I30" s="32" t="s">
        <v>50</v>
      </c>
      <c r="J30" s="32" t="s">
        <v>50</v>
      </c>
      <c r="K30" s="32" t="s">
        <v>50</v>
      </c>
      <c r="L30" s="31" t="s">
        <v>50</v>
      </c>
      <c r="M30" s="31" t="s">
        <v>50</v>
      </c>
      <c r="N30" s="32" t="s">
        <v>50</v>
      </c>
      <c r="O30" s="31" t="s">
        <v>50</v>
      </c>
      <c r="P30" s="31" t="s">
        <v>50</v>
      </c>
      <c r="Q30" s="32" t="s">
        <v>50</v>
      </c>
      <c r="R30" s="32" t="s">
        <v>50</v>
      </c>
      <c r="S30" s="31" t="s">
        <v>50</v>
      </c>
      <c r="T30" s="31" t="s">
        <v>50</v>
      </c>
      <c r="U30" s="32" t="s">
        <v>50</v>
      </c>
      <c r="V30" s="32" t="s">
        <v>50</v>
      </c>
      <c r="W30" s="31" t="s">
        <v>50</v>
      </c>
      <c r="X30" s="31" t="s">
        <v>50</v>
      </c>
      <c r="Y30" s="32" t="s">
        <v>50</v>
      </c>
      <c r="Z30" s="32" t="s">
        <v>50</v>
      </c>
      <c r="AA30" s="32" t="s">
        <v>50</v>
      </c>
      <c r="AB30" s="32" t="s">
        <v>50</v>
      </c>
      <c r="AC30" s="32" t="s">
        <v>50</v>
      </c>
      <c r="AD30" s="32" t="s">
        <v>50</v>
      </c>
      <c r="AE30" s="31" t="s">
        <v>50</v>
      </c>
      <c r="AF30" s="31" t="s">
        <v>50</v>
      </c>
      <c r="AG30" s="31" t="s">
        <v>50</v>
      </c>
      <c r="AH30" s="32" t="s">
        <v>50</v>
      </c>
      <c r="AI30" s="32" t="s">
        <v>50</v>
      </c>
      <c r="AJ30" s="32" t="s">
        <v>50</v>
      </c>
      <c r="AK30" s="32" t="s">
        <v>50</v>
      </c>
      <c r="AL30" s="33" t="s">
        <v>5</v>
      </c>
      <c r="AM30" s="34"/>
    </row>
    <row r="31" spans="2:39">
      <c r="B31" s="28" t="s">
        <v>68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</row>
    <row r="32" spans="2:39">
      <c r="B32" s="41">
        <v>9</v>
      </c>
      <c r="C32" s="42" t="s">
        <v>69</v>
      </c>
      <c r="D32" s="42" t="s">
        <v>48</v>
      </c>
      <c r="E32" s="42" t="s">
        <v>70</v>
      </c>
      <c r="F32" s="43" t="s">
        <v>50</v>
      </c>
      <c r="G32" s="43" t="s">
        <v>50</v>
      </c>
      <c r="H32" s="43" t="s">
        <v>50</v>
      </c>
      <c r="I32" s="44" t="s">
        <v>50</v>
      </c>
      <c r="J32" s="43" t="s">
        <v>50</v>
      </c>
      <c r="K32" s="43" t="s">
        <v>50</v>
      </c>
      <c r="L32" s="44" t="s">
        <v>50</v>
      </c>
      <c r="M32" s="44" t="s">
        <v>50</v>
      </c>
      <c r="N32" s="44" t="s">
        <v>50</v>
      </c>
      <c r="O32" s="44" t="s">
        <v>50</v>
      </c>
      <c r="P32" s="44" t="s">
        <v>50</v>
      </c>
      <c r="Q32" s="44" t="s">
        <v>50</v>
      </c>
      <c r="R32" s="44" t="s">
        <v>50</v>
      </c>
      <c r="S32" s="43" t="s">
        <v>50</v>
      </c>
      <c r="T32" s="43" t="s">
        <v>50</v>
      </c>
      <c r="U32" s="44" t="s">
        <v>50</v>
      </c>
      <c r="V32" s="44" t="s">
        <v>50</v>
      </c>
      <c r="W32" s="44" t="s">
        <v>50</v>
      </c>
      <c r="X32" s="44" t="s">
        <v>50</v>
      </c>
      <c r="Y32" s="44" t="s">
        <v>50</v>
      </c>
      <c r="Z32" s="44" t="s">
        <v>50</v>
      </c>
      <c r="AA32" s="44" t="s">
        <v>50</v>
      </c>
      <c r="AB32" s="44" t="s">
        <v>50</v>
      </c>
      <c r="AC32" s="44" t="s">
        <v>50</v>
      </c>
      <c r="AD32" s="44" t="s">
        <v>50</v>
      </c>
      <c r="AE32" s="44" t="s">
        <v>50</v>
      </c>
      <c r="AF32" s="44" t="s">
        <v>50</v>
      </c>
      <c r="AG32" s="44" t="s">
        <v>50</v>
      </c>
      <c r="AH32" s="44" t="s">
        <v>50</v>
      </c>
      <c r="AI32" s="44" t="s">
        <v>50</v>
      </c>
      <c r="AJ32" s="44" t="s">
        <v>50</v>
      </c>
      <c r="AK32" s="44" t="s">
        <v>50</v>
      </c>
      <c r="AL32" s="45" t="s">
        <v>5</v>
      </c>
      <c r="AM32" s="46"/>
    </row>
  </sheetData>
  <mergeCells count="21">
    <mergeCell ref="B28:AM28"/>
    <mergeCell ref="B31:AM31"/>
    <mergeCell ref="AM15:AM16"/>
    <mergeCell ref="B17:AM17"/>
    <mergeCell ref="B19:AM19"/>
    <mergeCell ref="B21:AM21"/>
    <mergeCell ref="B23:AM23"/>
    <mergeCell ref="B25:AM25"/>
    <mergeCell ref="B15:B16"/>
    <mergeCell ref="C15:C16"/>
    <mergeCell ref="D15:D16"/>
    <mergeCell ref="E15:E16"/>
    <mergeCell ref="F15:AK15"/>
    <mergeCell ref="AL15:AL16"/>
    <mergeCell ref="B2:AM3"/>
    <mergeCell ref="B5:C13"/>
    <mergeCell ref="AJ6:AK6"/>
    <mergeCell ref="AJ7:AK7"/>
    <mergeCell ref="AJ8:AK8"/>
    <mergeCell ref="AJ9:AK9"/>
    <mergeCell ref="AJ10:AK10"/>
  </mergeCells>
  <conditionalFormatting sqref="B5">
    <cfRule type="containsText" dxfId="17" priority="13" operator="containsText" text="FAIL">
      <formula>NOT(ISERROR(SEARCH("FAIL",B5)))</formula>
    </cfRule>
    <cfRule type="containsText" dxfId="16" priority="14" operator="containsText" text="PASS">
      <formula>NOT(ISERROR(SEARCH("PASS",B5)))</formula>
    </cfRule>
  </conditionalFormatting>
  <conditionalFormatting sqref="D5:D13">
    <cfRule type="duplicateValues" dxfId="15" priority="15"/>
    <cfRule type="duplicateValues" dxfId="14" priority="16"/>
  </conditionalFormatting>
  <conditionalFormatting sqref="E2:E4">
    <cfRule type="duplicateValues" dxfId="13" priority="17"/>
  </conditionalFormatting>
  <conditionalFormatting sqref="E15:E16">
    <cfRule type="duplicateValues" dxfId="12" priority="18"/>
  </conditionalFormatting>
  <conditionalFormatting sqref="E18">
    <cfRule type="duplicateValues" dxfId="11" priority="9"/>
    <cfRule type="duplicateValues" dxfId="10" priority="10"/>
  </conditionalFormatting>
  <conditionalFormatting sqref="E24 E20 E22">
    <cfRule type="duplicateValues" dxfId="9" priority="7"/>
    <cfRule type="duplicateValues" dxfId="8" priority="8"/>
  </conditionalFormatting>
  <conditionalFormatting sqref="E26:E27">
    <cfRule type="duplicateValues" dxfId="7" priority="5"/>
    <cfRule type="duplicateValues" dxfId="6" priority="6"/>
  </conditionalFormatting>
  <conditionalFormatting sqref="E32 E29:E30">
    <cfRule type="duplicateValues" dxfId="5" priority="11"/>
    <cfRule type="duplicateValues" dxfId="4" priority="12"/>
  </conditionalFormatting>
  <conditionalFormatting sqref="AL2:AL32">
    <cfRule type="cellIs" dxfId="3" priority="1" operator="equal">
      <formula>"PASS"</formula>
    </cfRule>
    <cfRule type="cellIs" dxfId="2" priority="2" operator="equal">
      <formula>"NA"</formula>
    </cfRule>
    <cfRule type="cellIs" dxfId="1" priority="3" operator="greaterThan">
      <formula>"NT"</formula>
    </cfRule>
    <cfRule type="cellIs" dxfId="0" priority="4" operator="equal">
      <formula>"FAIL"</formula>
    </cfRule>
  </conditionalFormatting>
  <dataValidations count="2">
    <dataValidation allowBlank="1" showInputMessage="1" showErrorMessage="1" sqref="AK5 AL4:AL13 B28:AM28 B31:AM31" xr:uid="{E7D190EE-FB9C-4BB4-A253-E7F8F41DC3D7}">
      <formula1>0</formula1>
      <formula2>0</formula2>
    </dataValidation>
    <dataValidation type="list" allowBlank="1" showInputMessage="1" showErrorMessage="1" sqref="AL2:AL3 AL14:AL27 AL32 AL29:AL30" xr:uid="{424CF5F8-E2FC-49C8-B9EA-DFFB6D71EF99}">
      <formula1>"PASS,FAIL,NT,NA"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2024-10-28T06:40:18Z</dcterms:created>
  <dcterms:modified xsi:type="dcterms:W3CDTF">2024-10-28T06:42:46Z</dcterms:modified>
  <cp:category/>
  <cp:contentStatus/>
</cp:coreProperties>
</file>